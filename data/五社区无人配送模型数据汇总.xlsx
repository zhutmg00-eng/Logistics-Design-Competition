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00b051b99a4efd" /></Relationships>
</file>

<file path=xl/workbook.xml><?xml version="1.0" encoding="utf-8"?>
<x:workbook xmlns:x="http://schemas.openxmlformats.org/spreadsheetml/2006/main">
  <x:sheets>
    <x:sheet xmlns:r="http://schemas.openxmlformats.org/officeDocument/2006/relationships" name="汇总概览" sheetId="1" r:id="R483ec38bae3b44e6"/>
    <x:sheet xmlns:r="http://schemas.openxmlformats.org/officeDocument/2006/relationships" name="参数与来源" sheetId="2" r:id="R0aea08e7b4e24b36"/>
    <x:sheet xmlns:r="http://schemas.openxmlformats.org/officeDocument/2006/relationships" name="社区" sheetId="3" r:id="R70174725c6e34bf3"/>
    <x:sheet xmlns:r="http://schemas.openxmlformats.org/officeDocument/2006/relationships" name="出入口" sheetId="4" r:id="R4eb2f4c0d2fe4a2d"/>
    <x:sheet xmlns:r="http://schemas.openxmlformats.org/officeDocument/2006/relationships" name="需求节点" sheetId="5" r:id="R9a8f9aaa802346cd"/>
    <x:sheet xmlns:r="http://schemas.openxmlformats.org/officeDocument/2006/relationships" name="设施点" sheetId="6" r:id="R7fad51a003214dde"/>
    <x:sheet xmlns:r="http://schemas.openxmlformats.org/officeDocument/2006/relationships" name="路网节点" sheetId="7" r:id="R835aa3e896114a8b"/>
    <x:sheet xmlns:r="http://schemas.openxmlformats.org/officeDocument/2006/relationships" name="路网边" sheetId="8" r:id="Rf13f1d677d2c4bfc"/>
    <x:sheet xmlns:r="http://schemas.openxmlformats.org/officeDocument/2006/relationships" name="缺失与核验" sheetId="9" r:id="R255cad40fa4b43f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0"/>
    <x:numFmt numFmtId="202" formatCode="#,##0.00"/>
    <x:numFmt numFmtId="203" formatCode="0.0000000"/>
    <x:numFmt numFmtId="204" formatCode="0.0"/>
    <x:numFmt numFmtId="205" formatCode="#,##0.0"/>
  </x:numFmts>
  <x:fonts count="9">
    <x:font>
      <x:sz val="11"/>
      <x:name val="Carlito"/>
    </x:font>
    <x:font>
      <x:sz val="10"/>
      <x:color rgb="FF1F2937"/>
      <x:name val="Arial"/>
    </x:font>
    <x:font>
      <x:b/>
      <x:sz val="15"/>
      <x:color rgb="FF111827"/>
      <x:name val="Arial"/>
    </x:font>
    <x:font>
      <x:i/>
      <x:sz val="10"/>
      <x:color rgb="FF4B5563"/>
      <x:name val="Arial"/>
    </x:font>
    <x:font>
      <x:b/>
      <x:sz val="10"/>
      <x:color rgb="FFFFFFFF"/>
      <x:name val="Arial"/>
    </x:font>
    <x:font>
      <x:b/>
      <x:sz val="14"/>
      <x:color rgb="FF1F4E78"/>
      <x:name val="Arial"/>
    </x:font>
    <x:font>
      <x:b/>
      <x:sz val="11"/>
      <x:color rgb="FF111827"/>
      <x:name val="Arial"/>
    </x:font>
    <x:font>
      <x:b/>
      <x:sz val="10"/>
      <x:color rgb="FF92400E"/>
      <x:name val="Arial"/>
    </x:font>
    <x:font>
      <x:sz val="9"/>
      <x:color rgb="FF0563C1"/>
      <x:name val="Arial"/>
    </x:font>
  </x:fonts>
  <x:fills count="6">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9EAF7"/>
      </x:patternFill>
    </x:fill>
    <x:fill>
      <x:patternFill patternType="solid">
        <x:fgColor rgb="FFFFF2CC"/>
      </x:patternFill>
    </x:fill>
  </x:fills>
  <x:borders count="14">
    <x:border/>
    <x:border>
      <x:bottom style="thin">
        <x:color rgb="FF9CA3AF"/>
      </x:bottom>
    </x:border>
    <x:border>
      <x:right style="thin">
        <x:color rgb="FFFFFFFF"/>
      </x:right>
      <x:bottom style="thin">
        <x:color rgb="FF1F4E78"/>
      </x:bottom>
    </x:border>
    <x:border>
      <x:left style="thin">
        <x:color rgb="FFFFFFFF"/>
      </x:left>
      <x:right style="thin">
        <x:color rgb="FFFFFFFF"/>
      </x:right>
      <x:bottom style="thin">
        <x:color rgb="FF1F4E78"/>
      </x:bottom>
    </x:border>
    <x:border>
      <x:left style="thin">
        <x:color rgb="FFFFFFFF"/>
      </x:left>
      <x:bottom style="thin">
        <x:color rgb="FF1F4E78"/>
      </x:bottom>
    </x:border>
    <x:border>
      <x:left style="thin">
        <x:color rgb="FFD9D9D9"/>
      </x:left>
      <x:right style="thin">
        <x:color rgb="FFFFFFFF"/>
      </x:right>
      <x:top style="thin">
        <x:color rgb="FFD9D9D9"/>
      </x:top>
      <x:bottom style="thin">
        <x:color rgb="FF1F4E78"/>
      </x:bottom>
    </x:border>
    <x:border>
      <x:left style="thin">
        <x:color rgb="FFFFFFFF"/>
      </x:left>
      <x:right style="thin">
        <x:color rgb="FFFFFFFF"/>
      </x:right>
      <x:top style="thin">
        <x:color rgb="FFD9D9D9"/>
      </x:top>
      <x:bottom style="thin">
        <x:color rgb="FF1F4E78"/>
      </x:bottom>
    </x:border>
    <x:border>
      <x:left style="thin">
        <x:color rgb="FFFFFFFF"/>
      </x:left>
      <x:right style="thin">
        <x:color rgb="FFD9D9D9"/>
      </x:right>
      <x:top style="thin">
        <x:color rgb="FFD9D9D9"/>
      </x:top>
      <x:bottom style="thin">
        <x:color rgb="FF1F4E78"/>
      </x:bottom>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ttom style="thin">
        <x:color rgb="FFD9D9D9"/>
      </x:bottom>
    </x:border>
  </x:borders>
  <x:cellStyleXfs count="1">
    <x:xf numFmtId="0" fontId="0" fillId="0" borderId="0"/>
  </x:cellStyleXfs>
  <x:cellXfs count="6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0" fontId="5" fillId="3" borderId="0" xfId="0" applyNumberFormat="1" applyFont="1" applyFill="1" applyBorder="1" applyAlignment="1">
      <x:alignment horizontal="center" vertical="center"/>
    </x:xf>
    <x:xf numFmtId="0" fontId="4" fillId="2" borderId="5" xfId="0" applyNumberFormat="1" applyFont="1" applyFill="1" applyBorder="1" applyAlignment="1">
      <x:alignment horizontal="center" vertical="center" wrapText="1"/>
    </x:xf>
    <x:xf numFmtId="0" fontId="4" fillId="2" borderId="6" xfId="0" applyNumberFormat="1" applyFont="1" applyFill="1" applyBorder="1" applyAlignment="1">
      <x:alignment horizontal="center" vertical="center" wrapText="1"/>
    </x:xf>
    <x:xf numFmtId="0" fontId="4" fillId="2" borderId="7" xfId="0" applyNumberFormat="1" applyFont="1" applyFill="1" applyBorder="1" applyAlignment="1">
      <x:alignment horizontal="center" vertical="center" wrapText="1"/>
    </x:xf>
    <x:xf numFmtId="200" fontId="5" fillId="3" borderId="8" xfId="0" applyNumberFormat="1" applyFont="1" applyFill="1" applyBorder="1" applyAlignment="1">
      <x:alignment horizontal="center" vertical="center"/>
    </x:xf>
    <x:xf numFmtId="200" fontId="5" fillId="3" borderId="9" xfId="0" applyNumberFormat="1" applyFont="1" applyFill="1" applyBorder="1" applyAlignment="1">
      <x:alignment horizontal="center" vertical="center"/>
    </x:xf>
    <x:xf numFmtId="200" fontId="5" fillId="3" borderId="10"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1" xfId="0" applyNumberFormat="1" applyFont="1" applyFill="1" applyBorder="1" applyAlignment="1">
      <x:alignment vertical="center"/>
    </x:xf>
    <x:xf numFmtId="200" fontId="1" fillId="0" borderId="9" xfId="0" applyNumberFormat="1" applyFont="1" applyFill="1" applyBorder="1" applyAlignment="1">
      <x:alignment vertical="center"/>
    </x:xf>
    <x:xf numFmtId="200" fontId="1" fillId="0" borderId="11"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1" xfId="0" applyNumberFormat="1" applyFont="1" applyFill="1" applyBorder="1" applyAlignment="1">
      <x:alignment vertical="center"/>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12" xfId="0" applyNumberFormat="1" applyFont="1" applyFill="1" applyBorder="1" applyAlignment="1">
      <x:alignment vertical="center"/>
    </x:xf>
    <x:xf numFmtId="0" fontId="6" fillId="4" borderId="11" xfId="0" applyNumberFormat="1" applyFont="1" applyFill="1" applyBorder="1" applyAlignment="1">
      <x:alignment vertical="center"/>
    </x:xf>
    <x:xf numFmtId="0" fontId="6" fillId="4" borderId="13"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7" fillId="5" borderId="0" xfId="0" applyNumberFormat="1" applyFont="1" applyFill="1" applyBorder="1" applyAlignment="1">
      <x:alignment vertical="center"/>
    </x:xf>
    <x:xf numFmtId="201" fontId="7" fillId="5"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 fillId="3"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5" fontId="1" fillId="3"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4" fontId="1" fillId="3" borderId="0" xfId="0" applyNumberFormat="1" applyFont="1" applyFill="1" applyBorder="1" applyAlignment="1">
      <x:alignment vertical="center"/>
    </x:xf>
    <x:xf numFmtId="204"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cellXfs>
  <x:cellStyles count="1">
    <x:cellStyle name="Normal" xfId="0"/>
  </x:cellStyles>
  <x:dxfs count="10">
    <x:dxf>
      <x:font>
        <x:b/>
        <x:color rgb="FFB91C1C"/>
      </x:font>
      <x:fill>
        <x:patternFill patternType="solid">
          <x:bgColor rgb="FFFDE9E7"/>
        </x:patternFill>
      </x:fill>
    </x:dxf>
    <x:dxf>
      <x:font>
        <x:b/>
        <x:color rgb="FFB91C1C"/>
      </x:font>
      <x:fill>
        <x:patternFill patternType="solid">
          <x:bgColor rgb="FFFDE9E7"/>
        </x:patternFill>
      </x:fill>
    </x:dxf>
    <x:dxf>
      <x:font>
        <x:color rgb="FF92400E"/>
      </x:font>
      <x:fill>
        <x:patternFill patternType="solid">
          <x:bgColor rgb="FFFFF2CC"/>
        </x:patternFill>
      </x:fill>
    </x:dxf>
    <x:dxf>
      <x:font>
        <x:color rgb="FF92400E"/>
      </x:font>
      <x:fill>
        <x:patternFill patternType="solid">
          <x:bgColor rgb="FFFFF2CC"/>
        </x:patternFill>
      </x:fill>
    </x:dxf>
    <x:dxf>
      <x:font>
        <x:b/>
        <x:color rgb="FF92400E"/>
      </x:font>
      <x:fill>
        <x:patternFill patternType="solid">
          <x:bgColor rgb="FFFFF2CC"/>
        </x:patternFill>
      </x:fill>
    </x:dxf>
    <x:dxf>
      <x:font>
        <x:color rgb="FF9A3412"/>
      </x:font>
      <x:fill>
        <x:patternFill patternType="solid">
          <x:bgColor rgb="FFFCE4D6"/>
        </x:patternFill>
      </x:fill>
    </x:dxf>
    <x:dxf>
      <x:font>
        <x:color rgb="FF92400E"/>
      </x:font>
      <x:fill>
        <x:patternFill patternType="solid">
          <x:bgColor rgb="FFFFF2CC"/>
        </x:patternFill>
      </x:fill>
    </x:dxf>
    <x:dxf>
      <x:font>
        <x:color rgb="FF92400E"/>
      </x:font>
      <x:fill>
        <x:patternFill patternType="solid">
          <x:bgColor rgb="FFFFF2CC"/>
        </x:patternFill>
      </x:fill>
    </x:dxf>
    <x:dxf>
      <x:font>
        <x:b/>
        <x:color rgb="FFB91C1C"/>
      </x:font>
      <x:fill>
        <x:patternFill patternType="solid">
          <x:bgColor rgb="FFFDE9E7"/>
        </x:patternFill>
      </x:fill>
    </x:dxf>
    <x:dxf>
      <x:font>
        <x:color rgb="FF92400E"/>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3cec9628754ac8" /><Relationship Type="http://schemas.openxmlformats.org/officeDocument/2006/relationships/theme" Target="/xl/theme/theme1.xml" Id="R6232c71ccb2744d8" /><Relationship Type="http://schemas.openxmlformats.org/officeDocument/2006/relationships/sharedStrings" Target="/xl/sharedStrings.xml" Id="R5ad5100a2ef746b9" /><Relationship Type="http://schemas.openxmlformats.org/officeDocument/2006/relationships/worksheet" Target="/xl/worksheets/sheet1.xml" Id="R483ec38bae3b44e6" /><Relationship Type="http://schemas.openxmlformats.org/officeDocument/2006/relationships/worksheet" Target="/xl/worksheets/sheet2.xml" Id="R0aea08e7b4e24b36" /><Relationship Type="http://schemas.openxmlformats.org/officeDocument/2006/relationships/worksheet" Target="/xl/worksheets/sheet3.xml" Id="R70174725c6e34bf3" /><Relationship Type="http://schemas.openxmlformats.org/officeDocument/2006/relationships/worksheet" Target="/xl/worksheets/sheet4.xml" Id="R4eb2f4c0d2fe4a2d" /><Relationship Type="http://schemas.openxmlformats.org/officeDocument/2006/relationships/worksheet" Target="/xl/worksheets/sheet5.xml" Id="R9a8f9aaa802346cd" /><Relationship Type="http://schemas.openxmlformats.org/officeDocument/2006/relationships/worksheet" Target="/xl/worksheets/sheet6.xml" Id="R7fad51a003214dde" /><Relationship Type="http://schemas.openxmlformats.org/officeDocument/2006/relationships/worksheet" Target="/xl/worksheets/sheet7.xml" Id="R835aa3e896114a8b" /><Relationship Type="http://schemas.openxmlformats.org/officeDocument/2006/relationships/worksheet" Target="/xl/worksheets/sheet8.xml" Id="Rf13f1d677d2c4bfc" /><Relationship Type="http://schemas.openxmlformats.org/officeDocument/2006/relationships/worksheet" Target="/xl/worksheets/sheet9.xml" Id="R255cad40fa4b43f5" /></Relationships>
</file>

<file path=xl/tables/table1.xml><?xml version="1.0" encoding="utf-8"?>
<x:table xmlns:x="http://schemas.openxmlformats.org/spreadsheetml/2006/main" id="1" name="ModelParametersTable" displayName="ModelParametersTable" ref="A5:G10" headerRowCount="1" totalsRowCount="0" totalsRowShown="0">
  <x:autoFilter ref="A5:G10"/>
  <x:tableColumns count="7">
    <x:tableColumn id="1" name="参数ID"/>
    <x:tableColumn id="2" name="参数"/>
    <x:tableColumn id="3" name="取值"/>
    <x:tableColumn id="4" name="单位"/>
    <x:tableColumn id="5" name="状态"/>
    <x:tableColumn id="6" name="说明"/>
    <x:tableColumn id="7" name="来源"/>
  </x:tableColumns>
  <x:tableStyleInfo name="TableStyleMedium2" showFirstColumn="0" showLastColumn="0" showRowStripes="1" showColumnStripes="0"/>
</x:table>
</file>

<file path=xl/tables/table2.xml><?xml version="1.0" encoding="utf-8"?>
<x:table xmlns:x="http://schemas.openxmlformats.org/spreadsheetml/2006/main" id="2" name="SourcesRegistryTable" displayName="SourcesRegistryTable" ref="A14:E28" headerRowCount="1" totalsRowCount="0" totalsRowShown="0">
  <x:autoFilter ref="A14:E28"/>
  <x:tableColumns count="5">
    <x:tableColumn id="1" name="来源ID"/>
    <x:tableColumn id="2" name="支持内容"/>
    <x:tableColumn id="3" name="资料名称"/>
    <x:tableColumn id="4" name="数据时间"/>
    <x:tableColumn id="5" name="链接或文件名"/>
  </x:tableColumns>
  <x:tableStyleInfo name="TableStyleMedium2" showFirstColumn="0" showLastColumn="0" showRowStripes="1" showColumnStripes="0"/>
</x:table>
</file>

<file path=xl/tables/table3.xml><?xml version="1.0" encoding="utf-8"?>
<x:table xmlns:x="http://schemas.openxmlformats.org/spreadsheetml/2006/main" id="3" name="CommunityMasterTable" displayName="CommunityMasterTable" ref="A5:T10" headerRowCount="1" totalsRowCount="0" totalsRowShown="0">
  <x:autoFilter ref="A5:T10"/>
  <x:tableColumns count="20">
    <x:tableColumn id="1" name="社区ID"/>
    <x:tableColumn id="2" name="社区名称"/>
    <x:tableColumn id="3" name="所属社区/街道"/>
    <x:tableColumn id="4" name="地址"/>
    <x:tableColumn id="5" name="边界坐标WKT（WGS84）"/>
    <x:tableColumn id="6" name="占地面积㎡"/>
    <x:tableColumn id="7" name="建筑面积㎡"/>
    <x:tableColumn id="8" name="容积率"/>
    <x:tableColumn id="9" name="楼栋数"/>
    <x:tableColumn id="10" name="总户数"/>
    <x:tableColumn id="11" name="模型需求户数"/>
    <x:tableColumn id="12" name="常住人口"/>
    <x:tableColumn id="13" name="老年人口"/>
    <x:tableColumn id="14" name="建筑形态"/>
    <x:tableColumn id="15" name="地形类型"/>
    <x:tableColumn id="16" name="数据时间"/>
    <x:tableColumn id="17" name="数据状态"/>
    <x:tableColumn id="18" name="可信度"/>
    <x:tableColumn id="19" name="来源"/>
    <x:tableColumn id="20" name="来源链接"/>
  </x:tableColumns>
  <x:tableStyleInfo name="TableStyleMedium2" showFirstColumn="0" showLastColumn="0" showRowStripes="1" showColumnStripes="0"/>
</x:table>
</file>

<file path=xl/tables/table4.xml><?xml version="1.0" encoding="utf-8"?>
<x:table xmlns:x="http://schemas.openxmlformats.org/spreadsheetml/2006/main" id="4" name="GatesTable" displayName="GatesTable" ref="A5:Q17" headerRowCount="1" totalsRowCount="0" totalsRowShown="0">
  <x:autoFilter ref="A5:Q17"/>
  <x:tableColumns count="17">
    <x:tableColumn id="1" name="出入口ID"/>
    <x:tableColumn id="2" name="社区ID"/>
    <x:tableColumn id="3" name="名称"/>
    <x:tableColumn id="4" name="经度WGS84"/>
    <x:tableColumn id="5" name="纬度WGS84"/>
    <x:tableColumn id="6" name="类型"/>
    <x:tableColumn id="7" name="无人车可通行"/>
    <x:tableColumn id="8" name="门宽m"/>
    <x:tableColumn id="9" name="开放时间"/>
    <x:tableColumn id="10" name="门禁方式"/>
    <x:tableColumn id="11" name="外部装卸条件"/>
    <x:tableColumn id="12" name="连接路网节点ID"/>
    <x:tableColumn id="13" name="是否启用"/>
    <x:tableColumn id="14" name="数据状态"/>
    <x:tableColumn id="15" name="可信度"/>
    <x:tableColumn id="16" name="来源"/>
    <x:tableColumn id="17" name="来源链接"/>
  </x:tableColumns>
  <x:tableStyleInfo name="TableStyleMedium2" showFirstColumn="0" showLastColumn="0" showRowStripes="1" showColumnStripes="0"/>
</x:table>
</file>

<file path=xl/tables/table5.xml><?xml version="1.0" encoding="utf-8"?>
<x:table xmlns:x="http://schemas.openxmlformats.org/spreadsheetml/2006/main" id="5" name="DemandNodesTable" displayName="DemandNodesTable" ref="A5:R50" headerRowCount="1" totalsRowCount="0" totalsRowShown="0">
  <x:autoFilter ref="A5:R50"/>
  <x:tableColumns count="18">
    <x:tableColumn id="1" name="需求节点ID"/>
    <x:tableColumn id="2" name="社区ID"/>
    <x:tableColumn id="3" name="楼栋/分区名称"/>
    <x:tableColumn id="4" name="经度WGS84"/>
    <x:tableColumn id="5" name="纬度WGS84"/>
    <x:tableColumn id="6" name="建筑类型"/>
    <x:tableColumn id="7" name="户数"/>
    <x:tableColumn id="8" name="日均件量"/>
    <x:tableColumn id="9" name="峰值件量"/>
    <x:tableColumn id="10" name="服务时间窗"/>
    <x:tableColumn id="11" name="平均服务时间min"/>
    <x:tableColumn id="12" name="特殊需求"/>
    <x:tableColumn id="13" name="连接路网节点ID"/>
    <x:tableColumn id="14" name="是否启用"/>
    <x:tableColumn id="15" name="数据状态"/>
    <x:tableColumn id="16" name="可信度"/>
    <x:tableColumn id="17" name="来源"/>
    <x:tableColumn id="18" name="来源链接"/>
  </x:tableColumns>
  <x:tableStyleInfo name="TableStyleMedium2" showFirstColumn="0" showLastColumn="0" showRowStripes="1" showColumnStripes="0"/>
</x:table>
</file>

<file path=xl/tables/table6.xml><?xml version="1.0" encoding="utf-8"?>
<x:table xmlns:x="http://schemas.openxmlformats.org/spreadsheetml/2006/main" id="6" name="FacilitiesTable" displayName="FacilitiesTable" ref="A5:V37" headerRowCount="1" totalsRowCount="0" totalsRowShown="0">
  <x:autoFilter ref="A5:V37"/>
  <x:tableColumns count="22">
    <x:tableColumn id="1" name="设施ID"/>
    <x:tableColumn id="2" name="社区ID"/>
    <x:tableColumn id="3" name="设施名称"/>
    <x:tableColumn id="4" name="设施类型"/>
    <x:tableColumn id="5" name="设施状态"/>
    <x:tableColumn id="6" name="经度WGS84"/>
    <x:tableColumn id="7" name="纬度WGS84"/>
    <x:tableColumn id="8" name="容量"/>
    <x:tableColumn id="9" name="当前利用量件/日"/>
    <x:tableColumn id="10" name="开放时间"/>
    <x:tableColumn id="11" name="可用面积㎡"/>
    <x:tableColumn id="12" name="可用功率kW"/>
    <x:tableColumn id="13" name="建设成本元"/>
    <x:tableColumn id="14" name="运营成本元/年"/>
    <x:tableColumn id="15" name="运营成本口径"/>
    <x:tableColumn id="16" name="连接路网节点ID"/>
    <x:tableColumn id="17" name="是否允许模型选择"/>
    <x:tableColumn id="18" name="现场核验状态"/>
    <x:tableColumn id="19" name="数据状态"/>
    <x:tableColumn id="20" name="可信度"/>
    <x:tableColumn id="21" name="来源"/>
    <x:tableColumn id="22" name="来源链接"/>
  </x:tableColumns>
  <x:tableStyleInfo name="TableStyleMedium2" showFirstColumn="0" showLastColumn="0" showRowStripes="1" showColumnStripes="0"/>
</x:table>
</file>

<file path=xl/tables/table7.xml><?xml version="1.0" encoding="utf-8"?>
<x:table xmlns:x="http://schemas.openxmlformats.org/spreadsheetml/2006/main" id="7" name="RoadNodesTable" displayName="RoadNodesTable" ref="A5:H381" headerRowCount="1" totalsRowCount="0" totalsRowShown="0">
  <x:autoFilter ref="A5:H381"/>
  <x:tableColumns count="8">
    <x:tableColumn id="1" name="路网节点ID"/>
    <x:tableColumn id="2" name="社区ID"/>
    <x:tableColumn id="3" name="节点类型"/>
    <x:tableColumn id="4" name="经度WGS84"/>
    <x:tableColumn id="5" name="纬度WGS84"/>
    <x:tableColumn id="6" name="是否启用"/>
    <x:tableColumn id="7" name="数据状态"/>
    <x:tableColumn id="8" name="备注"/>
  </x:tableColumns>
  <x:tableStyleInfo name="TableStyleMedium2" showFirstColumn="0" showLastColumn="0" showRowStripes="1" showColumnStripes="0"/>
</x:table>
</file>

<file path=xl/tables/table8.xml><?xml version="1.0" encoding="utf-8"?>
<x:table xmlns:x="http://schemas.openxmlformats.org/spreadsheetml/2006/main" id="8" name="RoadEdgesTable" displayName="RoadEdgesTable" ref="A5:P341" headerRowCount="1" totalsRowCount="0" totalsRowShown="0">
  <x:autoFilter ref="A5:P341"/>
  <x:tableColumns count="16">
    <x:tableColumn id="1" name="路段ID"/>
    <x:tableColumn id="2" name="社区ID"/>
    <x:tableColumn id="3" name="起点ID"/>
    <x:tableColumn id="4" name="终点ID"/>
    <x:tableColumn id="5" name="距离m"/>
    <x:tableColumn id="6" name="是否双向"/>
    <x:tableColumn id="7" name="无人车可通行"/>
    <x:tableColumn id="8" name="道路净宽m"/>
    <x:tableColumn id="9" name="坡度%"/>
    <x:tableColumn id="10" name="障碍类型"/>
    <x:tableColumn id="11" name="速度m/s"/>
    <x:tableColumn id="12" name="通行时间s"/>
    <x:tableColumn id="13" name="开放时间"/>
    <x:tableColumn id="14" name="风险系数"/>
    <x:tableColumn id="15" name="数据状态"/>
    <x:tableColumn id="16" name="来源"/>
  </x:tableColumns>
  <x:tableStyleInfo name="TableStyleMedium2" showFirstColumn="0" showLastColumn="0" showRowStripes="1" showColumnStripes="0"/>
</x:table>
</file>

<file path=xl/tables/table9.xml><?xml version="1.0" encoding="utf-8"?>
<x:table xmlns:x="http://schemas.openxmlformats.org/spreadsheetml/2006/main" id="9" name="MissingDataAuditTable" displayName="MissingDataAuditTable" ref="A5:I22" headerRowCount="1" totalsRowCount="0" totalsRowShown="0">
  <x:autoFilter ref="A5:I22"/>
  <x:tableColumns count="9">
    <x:tableColumn id="1" name="社区ID"/>
    <x:tableColumn id="2" name="数据类别"/>
    <x:tableColumn id="3" name="字段"/>
    <x:tableColumn id="4" name="处理状态"/>
    <x:tableColumn id="5" name="问题或缺失"/>
    <x:tableColumn id="6" name="当前处理方式"/>
    <x:tableColumn id="7" name="优先级"/>
    <x:tableColumn id="8" name="来源"/>
    <x:tableColumn id="9" name="来源链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fd0b0f22ca4797" /><Relationship Type="http://schemas.openxmlformats.org/officeDocument/2006/relationships/table" Target="/xl/tables/table2.xml" Id="Ree2b2bffe3164451" /></Relationships>
</file>

<file path=xl/worksheets/_rels/sheet3.xml.rels>&#65279;<?xml version="1.0" encoding="utf-8"?><Relationships xmlns="http://schemas.openxmlformats.org/package/2006/relationships"><Relationship Type="http://schemas.openxmlformats.org/officeDocument/2006/relationships/table" Target="/xl/tables/table3.xml" Id="R3aa13d4059ba48b1" /></Relationships>
</file>

<file path=xl/worksheets/_rels/sheet4.xml.rels>&#65279;<?xml version="1.0" encoding="utf-8"?><Relationships xmlns="http://schemas.openxmlformats.org/package/2006/relationships"><Relationship Type="http://schemas.openxmlformats.org/officeDocument/2006/relationships/table" Target="/xl/tables/table4.xml" Id="R42969f543bae4f9f" /></Relationships>
</file>

<file path=xl/worksheets/_rels/sheet5.xml.rels>&#65279;<?xml version="1.0" encoding="utf-8"?><Relationships xmlns="http://schemas.openxmlformats.org/package/2006/relationships"><Relationship Type="http://schemas.openxmlformats.org/officeDocument/2006/relationships/table" Target="/xl/tables/table5.xml" Id="Rc0ae54c11cf549ff" /></Relationships>
</file>

<file path=xl/worksheets/_rels/sheet6.xml.rels>&#65279;<?xml version="1.0" encoding="utf-8"?><Relationships xmlns="http://schemas.openxmlformats.org/package/2006/relationships"><Relationship Type="http://schemas.openxmlformats.org/officeDocument/2006/relationships/table" Target="/xl/tables/table6.xml" Id="R7149cbb4c5ba45c8" /></Relationships>
</file>

<file path=xl/worksheets/_rels/sheet7.xml.rels>&#65279;<?xml version="1.0" encoding="utf-8"?><Relationships xmlns="http://schemas.openxmlformats.org/package/2006/relationships"><Relationship Type="http://schemas.openxmlformats.org/officeDocument/2006/relationships/table" Target="/xl/tables/table7.xml" Id="R55445f87d0b34c22" /></Relationships>
</file>

<file path=xl/worksheets/_rels/sheet8.xml.rels>&#65279;<?xml version="1.0" encoding="utf-8"?><Relationships xmlns="http://schemas.openxmlformats.org/package/2006/relationships"><Relationship Type="http://schemas.openxmlformats.org/officeDocument/2006/relationships/table" Target="/xl/tables/table8.xml" Id="R38d5a24731bd41eb" /></Relationships>
</file>

<file path=xl/worksheets/_rels/sheet9.xml.rels>&#65279;<?xml version="1.0" encoding="utf-8"?><Relationships xmlns="http://schemas.openxmlformats.org/package/2006/relationships"><Relationship Type="http://schemas.openxmlformats.org/officeDocument/2006/relationships/table" Target="/xl/tables/table9.xml" Id="R67ea66b37aa04aa3" /></Relationships>
</file>

<file path=xl/worksheets/sheet1.xml><?xml version="1.0" encoding="utf-8"?>
<x:worksheet xmlns:x="http://schemas.openxmlformats.org/spreadsheetml/2006/main">
  <x:sheetPr>
    <x:tabColor rgb="FF1F4E78"/>
  </x:sheetPr>
  <x:sheetViews>
    <x:sheetView showGridLines="0" workbookViewId="0">
      <x:pane ySplit="9" topLeftCell="A10" activePane="bottomLeft" state="frozen"/>
    </x:sheetView>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4" hidden="0" customWidth="1"/>
    <x:col min="7" max="7" width="14" hidden="0" customWidth="1"/>
    <x:col min="8" max="8" width="14" hidden="0" customWidth="1"/>
    <x:col min="9" max="9" width="18" hidden="0" customWidth="1"/>
    <x:col min="10" max="10" width="27"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五社区无人配送模型数据汇总</x:v>
      </x:c>
      <x:c r="B2" s="2"/>
      <x:c r="C2" s="2"/>
      <x:c r="D2" s="2"/>
      <x:c r="E2" s="2"/>
      <x:c r="F2" s="2"/>
      <x:c r="G2" s="2"/>
      <x:c r="H2" s="2"/>
      <x:c r="I2" s="2"/>
      <x:c r="J2" s="2"/>
      <x:c r="K2" s="2"/>
      <x:c r="L2" s="2"/>
      <x:c r="M2" s="2"/>
      <x:c r="N2" s="2"/>
      <x:c r="O2" s="2"/>
      <x:c r="P2" s="2"/>
      <x:c r="Q2" s="2"/>
      <x:c r="R2" s="2"/>
      <x:c r="S2" s="2"/>
      <x:c r="T2" s="2"/>
      <x:c r="U2" s="2"/>
      <x:c r="V2" s="2"/>
    </x:row>
    <x:row r="3">
      <x:c r="A3" s="5" t="str">
        <x:v>统一坐标为WGS84。模型可以运行，但情景路网和待核验设施不能直接用于现场车辆执行。</x:v>
      </x:c>
      <x:c r="B3" s="4"/>
      <x:c r="C3" s="4"/>
      <x:c r="D3" s="4"/>
      <x:c r="E3" s="4"/>
      <x:c r="F3" s="4"/>
      <x:c r="G3" s="4"/>
      <x:c r="H3" s="4"/>
      <x:c r="I3" s="4"/>
      <x:c r="J3" s="4"/>
      <x:c r="K3" s="2"/>
      <x:c r="L3" s="2"/>
      <x:c r="M3" s="2"/>
      <x:c r="N3" s="2"/>
      <x:c r="O3" s="2"/>
      <x:c r="P3" s="2"/>
      <x:c r="Q3" s="2"/>
      <x:c r="R3" s="2"/>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x:c r="A5" s="21" t="str">
        <x:v>社区数量</x:v>
      </x:c>
      <x:c r="B5" s="22" t="str">
        <x:v>模型需求户数</x:v>
      </x:c>
      <x:c r="C5" s="22" t="str">
        <x:v>需求节点</x:v>
      </x:c>
      <x:c r="D5" s="22" t="str">
        <x:v>可选设施</x:v>
      </x:c>
      <x:c r="E5" s="23" t="str">
        <x:v>路网边</x:v>
      </x:c>
      <x:c r="F5" s="2"/>
      <x:c r="G5" s="2"/>
      <x:c r="H5" s="2"/>
      <x:c r="I5" s="2"/>
      <x:c r="J5" s="2"/>
      <x:c r="K5" s="2"/>
      <x:c r="L5" s="2"/>
      <x:c r="M5" s="2"/>
      <x:c r="N5" s="2"/>
      <x:c r="O5" s="2"/>
      <x:c r="P5" s="2"/>
      <x:c r="Q5" s="2"/>
      <x:c r="R5" s="2"/>
      <x:c r="S5" s="2"/>
      <x:c r="T5" s="2"/>
      <x:c r="U5" s="2"/>
      <x:c r="V5" s="2"/>
    </x:row>
    <x:row r="6">
      <x:c r="A6" s="24" t="n">
        <x:f>COUNTA('社区'!$A$6:$A$10)</x:f>
        <x:v>5</x:v>
      </x:c>
      <x:c r="B6" s="25" t="n">
        <x:f>SUM('需求节点'!$G$6:$G$60)</x:f>
        <x:v>4316</x:v>
      </x:c>
      <x:c r="C6" s="25" t="n">
        <x:f>COUNTIFS('需求节点'!$C$6:$C$60,"&lt;&gt;",'需求节点'!$N$6:$N$60,"是")</x:f>
        <x:v>45</x:v>
      </x:c>
      <x:c r="D6" s="25" t="n">
        <x:f>COUNTIFS('设施点'!$Q$6:$Q$50,"是")</x:f>
        <x:v>17</x:v>
      </x:c>
      <x:c r="E6" s="26" t="n">
        <x:f>COUNTA('路网边'!$A$6:$A$350)</x:f>
        <x:v>336</x:v>
      </x:c>
      <x:c r="F6" s="2"/>
      <x:c r="G6" s="2"/>
      <x:c r="H6" s="2"/>
      <x:c r="I6" s="2"/>
      <x:c r="J6" s="2"/>
      <x:c r="K6" s="2"/>
      <x:c r="L6" s="2"/>
      <x:c r="M6" s="2"/>
      <x:c r="N6" s="2"/>
      <x:c r="O6" s="2"/>
      <x:c r="P6" s="2"/>
      <x:c r="Q6" s="2"/>
      <x:c r="R6" s="2"/>
      <x:c r="S6" s="2"/>
      <x:c r="T6" s="2"/>
      <x:c r="U6" s="2"/>
      <x:c r="V6" s="2"/>
    </x:row>
    <x:row r="7">
      <x:c r="A7" s="2"/>
      <x:c r="B7" s="2"/>
      <x:c r="C7" s="2"/>
      <x:c r="D7" s="2"/>
      <x:c r="E7" s="2"/>
      <x:c r="F7" s="2"/>
      <x:c r="G7" s="2"/>
      <x:c r="H7" s="2"/>
      <x:c r="I7" s="2"/>
      <x:c r="J7" s="2"/>
      <x:c r="K7" s="2"/>
      <x:c r="L7" s="2"/>
      <x:c r="M7" s="2"/>
      <x:c r="N7" s="2"/>
      <x:c r="O7" s="2"/>
      <x:c r="P7" s="2"/>
      <x:c r="Q7" s="2"/>
      <x:c r="R7" s="2"/>
      <x:c r="S7" s="2"/>
      <x:c r="T7" s="2"/>
      <x:c r="U7" s="2"/>
      <x:c r="V7" s="2"/>
    </x:row>
    <x:row r="8">
      <x:c r="A8" s="2"/>
      <x:c r="B8" s="2"/>
      <x:c r="C8" s="2"/>
      <x:c r="D8" s="2"/>
      <x:c r="E8" s="2"/>
      <x:c r="F8" s="2"/>
      <x:c r="G8" s="2"/>
      <x:c r="H8" s="2"/>
      <x:c r="I8" s="2"/>
      <x:c r="J8" s="2"/>
      <x:c r="K8" s="2"/>
      <x:c r="L8" s="2"/>
      <x:c r="M8" s="2"/>
      <x:c r="N8" s="2"/>
      <x:c r="O8" s="2"/>
      <x:c r="P8" s="2"/>
      <x:c r="Q8" s="2"/>
      <x:c r="R8" s="2"/>
      <x:c r="S8" s="2"/>
      <x:c r="T8" s="2"/>
      <x:c r="U8" s="2"/>
      <x:c r="V8" s="2"/>
    </x:row>
    <x:row r="9">
      <x:c r="A9" s="14" t="str">
        <x:v>社区ID</x:v>
      </x:c>
      <x:c r="B9" s="15" t="str">
        <x:v>社区名称</x:v>
      </x:c>
      <x:c r="C9" s="15" t="str">
        <x:v>模型需求户数</x:v>
      </x:c>
      <x:c r="D9" s="15" t="str">
        <x:v>需求节点</x:v>
      </x:c>
      <x:c r="E9" s="15" t="str">
        <x:v>启用出入口</x:v>
      </x:c>
      <x:c r="F9" s="15" t="str">
        <x:v>可选设施</x:v>
      </x:c>
      <x:c r="G9" s="15" t="str">
        <x:v>路网节点</x:v>
      </x:c>
      <x:c r="H9" s="15" t="str">
        <x:v>路网边</x:v>
      </x:c>
      <x:c r="I9" s="15" t="str">
        <x:v>高优先级待核项</x:v>
      </x:c>
      <x:c r="J9" s="16" t="str">
        <x:v>模型状态</x:v>
      </x:c>
      <x:c r="K9" s="2"/>
      <x:c r="L9" s="2"/>
      <x:c r="M9" s="2"/>
      <x:c r="N9" s="2"/>
      <x:c r="O9" s="2"/>
      <x:c r="P9" s="2"/>
      <x:c r="Q9" s="2"/>
      <x:c r="R9" s="2"/>
      <x:c r="S9" s="2"/>
      <x:c r="T9" s="2"/>
      <x:c r="U9" s="2"/>
      <x:c r="V9" s="2"/>
    </x:row>
    <x:row r="10">
      <x:c r="A10" s="27" t="str">
        <x:v>C01</x:v>
      </x:c>
      <x:c r="B10" s="27" t="str">
        <x:v>梅园小区</x:v>
      </x:c>
      <x:c r="C10" s="29" t="n">
        <x:f>SUMIFS('需求节点'!$G$6:$G$60,'需求节点'!$B$6:$B$60,$A10,'需求节点'!$N$6:$N$60,"是")</x:f>
        <x:v>272</x:v>
      </x:c>
      <x:c r="D10" s="29" t="n">
        <x:f>COUNTIFS('需求节点'!$B$6:$B$60,$A10,'需求节点'!$N$6:$N$60,"是")</x:f>
        <x:v>5</x:v>
      </x:c>
      <x:c r="E10" s="29" t="n">
        <x:f>COUNTIFS('出入口'!$B$6:$B$30,$A10,'出入口'!$M$6:$M$30,"是")</x:f>
        <x:v>2</x:v>
      </x:c>
      <x:c r="F10" s="29" t="n">
        <x:f>COUNTIFS('设施点'!$B$6:$B$50,$A10,'设施点'!$Q$6:$Q$50,"是")</x:f>
        <x:v>3</x:v>
      </x:c>
      <x:c r="G10" s="29" t="n">
        <x:f>COUNTIFS('路网节点'!$B$6:$B$400,$A10,'路网节点'!$F$6:$F$400,"是")</x:f>
        <x:v>52</x:v>
      </x:c>
      <x:c r="H10" s="29" t="n">
        <x:f>COUNTIFS('路网边'!$B$6:$B$350,$A10,'路网边'!$G$6:$G$350,"&lt;&gt;否")</x:f>
        <x:v>46</x:v>
      </x:c>
      <x:c r="I10" s="29" t="n">
        <x:f>COUNTIFS('缺失与核验'!$A$6:$A$30,$A10,'缺失与核验'!$G$6:$G$30,"高",'缺失与核验'!$D$6:$D$30,"&lt;&gt;已清洗")</x:f>
        <x:v>3</x:v>
      </x:c>
      <x:c r="J10" s="31" t="str">
        <x:f>IF(AND(C10&gt;0,D10&gt;0,E10&gt;0,F10&gt;0,H10&gt;0),"可运行（含情景假设）","缺少关键输入")</x:f>
        <x:v>可运行（含情景假设）</x:v>
      </x:c>
      <x:c r="K10" s="2"/>
      <x:c r="L10" s="2"/>
      <x:c r="M10" s="2"/>
      <x:c r="N10" s="2"/>
      <x:c r="O10" s="2"/>
      <x:c r="P10" s="2"/>
      <x:c r="Q10" s="2"/>
      <x:c r="R10" s="2"/>
      <x:c r="S10" s="2"/>
      <x:c r="T10" s="2"/>
      <x:c r="U10" s="2"/>
      <x:c r="V10" s="2"/>
    </x:row>
    <x:row r="11">
      <x:c r="A11" s="28" t="str">
        <x:v>C02</x:v>
      </x:c>
      <x:c r="B11" s="28" t="str">
        <x:v>鹿鸣苑</x:v>
      </x:c>
      <x:c r="C11" s="30" t="n">
        <x:f>SUMIFS('需求节点'!$G$6:$G$60,'需求节点'!$B$6:$B$60,$A11,'需求节点'!$N$6:$N$60,"是")</x:f>
        <x:v>433</x:v>
      </x:c>
      <x:c r="D11" s="30" t="n">
        <x:f>COUNTIFS('需求节点'!$B$6:$B$60,$A11,'需求节点'!$N$6:$N$60,"是")</x:f>
        <x:v>7</x:v>
      </x:c>
      <x:c r="E11" s="30" t="n">
        <x:f>COUNTIFS('出入口'!$B$6:$B$30,$A11,'出入口'!$M$6:$M$30,"是")</x:f>
        <x:v>3</x:v>
      </x:c>
      <x:c r="F11" s="30" t="n">
        <x:f>COUNTIFS('设施点'!$B$6:$B$50,$A11,'设施点'!$Q$6:$Q$50,"是")</x:f>
        <x:v>3</x:v>
      </x:c>
      <x:c r="G11" s="30" t="n">
        <x:f>COUNTIFS('路网节点'!$B$6:$B$400,$A11,'路网节点'!$F$6:$F$400,"是")</x:f>
        <x:v>83</x:v>
      </x:c>
      <x:c r="H11" s="30" t="n">
        <x:f>COUNTIFS('路网边'!$B$6:$B$350,$A11,'路网边'!$G$6:$G$350,"&lt;&gt;否")</x:f>
        <x:v>84</x:v>
      </x:c>
      <x:c r="I11" s="30" t="n">
        <x:f>COUNTIFS('缺失与核验'!$A$6:$A$30,$A11,'缺失与核验'!$G$6:$G$30,"高",'缺失与核验'!$D$6:$D$30,"&lt;&gt;已清洗")</x:f>
        <x:v>2</x:v>
      </x:c>
      <x:c r="J11" s="32" t="str">
        <x:f>IF(AND(C11&gt;0,D11&gt;0,E11&gt;0,F11&gt;0,H11&gt;0),"可运行（含情景假设）","缺少关键输入")</x:f>
        <x:v>可运行（含情景假设）</x:v>
      </x:c>
      <x:c r="K11" s="2"/>
      <x:c r="L11" s="2"/>
      <x:c r="M11" s="2"/>
      <x:c r="N11" s="2"/>
      <x:c r="O11" s="2"/>
      <x:c r="P11" s="2"/>
      <x:c r="Q11" s="2"/>
      <x:c r="R11" s="2"/>
      <x:c r="S11" s="2"/>
      <x:c r="T11" s="2"/>
      <x:c r="U11" s="2"/>
      <x:c r="V11" s="2"/>
    </x:row>
    <x:row r="12">
      <x:c r="A12" s="28" t="str">
        <x:v>C03</x:v>
      </x:c>
      <x:c r="B12" s="28" t="str">
        <x:v>天华园二里一区</x:v>
      </x:c>
      <x:c r="C12" s="30" t="n">
        <x:f>SUMIFS('需求节点'!$G$6:$G$60,'需求节点'!$B$6:$B$60,$A12,'需求节点'!$N$6:$N$60,"是")</x:f>
        <x:v>420</x:v>
      </x:c>
      <x:c r="D12" s="30" t="n">
        <x:f>COUNTIFS('需求节点'!$B$6:$B$60,$A12,'需求节点'!$N$6:$N$60,"是")</x:f>
        <x:v>11</x:v>
      </x:c>
      <x:c r="E12" s="30" t="n">
        <x:f>COUNTIFS('出入口'!$B$6:$B$30,$A12,'出入口'!$M$6:$M$30,"是")</x:f>
        <x:v>2</x:v>
      </x:c>
      <x:c r="F12" s="30" t="n">
        <x:f>COUNTIFS('设施点'!$B$6:$B$50,$A12,'设施点'!$Q$6:$Q$50,"是")</x:f>
        <x:v>5</x:v>
      </x:c>
      <x:c r="G12" s="30" t="n">
        <x:f>COUNTIFS('路网节点'!$B$6:$B$400,$A12,'路网节点'!$F$6:$F$400,"是")</x:f>
        <x:v>208</x:v>
      </x:c>
      <x:c r="H12" s="30" t="n">
        <x:f>COUNTIFS('路网边'!$B$6:$B$350,$A12,'路网边'!$G$6:$G$350,"&lt;&gt;否")</x:f>
        <x:v>167</x:v>
      </x:c>
      <x:c r="I12" s="30" t="n">
        <x:f>COUNTIFS('缺失与核验'!$A$6:$A$30,$A12,'缺失与核验'!$G$6:$G$30,"高",'缺失与核验'!$D$6:$D$30,"&lt;&gt;已清洗")</x:f>
        <x:v>2</x:v>
      </x:c>
      <x:c r="J12" s="32" t="str">
        <x:f>IF(AND(C12&gt;0,D12&gt;0,E12&gt;0,F12&gt;0,H12&gt;0),"可运行（含情景假设）","缺少关键输入")</x:f>
        <x:v>可运行（含情景假设）</x:v>
      </x:c>
      <x:c r="K12" s="2"/>
      <x:c r="L12" s="2"/>
      <x:c r="M12" s="2"/>
      <x:c r="N12" s="2"/>
      <x:c r="O12" s="2"/>
      <x:c r="P12" s="2"/>
      <x:c r="Q12" s="2"/>
      <x:c r="R12" s="2"/>
      <x:c r="S12" s="2"/>
      <x:c r="T12" s="2"/>
      <x:c r="U12" s="2"/>
      <x:c r="V12" s="2"/>
    </x:row>
    <x:row r="13">
      <x:c r="A13" s="28" t="str">
        <x:v>C04</x:v>
      </x:c>
      <x:c r="B13" s="28" t="str">
        <x:v>亦城茗苑</x:v>
      </x:c>
      <x:c r="C13" s="30" t="n">
        <x:f>SUMIFS('需求节点'!$G$6:$G$60,'需求节点'!$B$6:$B$60,$A13,'需求节点'!$N$6:$N$60,"是")</x:f>
        <x:v>2141</x:v>
      </x:c>
      <x:c r="D13" s="30" t="n">
        <x:f>COUNTIFS('需求节点'!$B$6:$B$60,$A13,'需求节点'!$N$6:$N$60,"是")</x:f>
        <x:v>12</x:v>
      </x:c>
      <x:c r="E13" s="30" t="n">
        <x:f>COUNTIFS('出入口'!$B$6:$B$30,$A13,'出入口'!$M$6:$M$30,"是")</x:f>
        <x:v>2</x:v>
      </x:c>
      <x:c r="F13" s="30" t="n">
        <x:f>COUNTIFS('设施点'!$B$6:$B$50,$A13,'设施点'!$Q$6:$Q$50,"是")</x:f>
        <x:v>3</x:v>
      </x:c>
      <x:c r="G13" s="30" t="n">
        <x:f>COUNTIFS('路网节点'!$B$6:$B$400,$A13,'路网节点'!$F$6:$F$400,"是")</x:f>
        <x:v>17</x:v>
      </x:c>
      <x:c r="H13" s="30" t="n">
        <x:f>COUNTIFS('路网边'!$B$6:$B$350,$A13,'路网边'!$G$6:$G$350,"&lt;&gt;否")</x:f>
        <x:v>16</x:v>
      </x:c>
      <x:c r="I13" s="30" t="n">
        <x:f>COUNTIFS('缺失与核验'!$A$6:$A$30,$A13,'缺失与核验'!$G$6:$G$30,"高",'缺失与核验'!$D$6:$D$30,"&lt;&gt;已清洗")</x:f>
        <x:v>3</x:v>
      </x:c>
      <x:c r="J13" s="32" t="str">
        <x:f>IF(AND(C13&gt;0,D13&gt;0,E13&gt;0,F13&gt;0,H13&gt;0),"可运行（含情景假设）","缺少关键输入")</x:f>
        <x:v>可运行（含情景假设）</x:v>
      </x:c>
      <x:c r="K13" s="2"/>
      <x:c r="L13" s="2"/>
      <x:c r="M13" s="2"/>
      <x:c r="N13" s="2"/>
      <x:c r="O13" s="2"/>
      <x:c r="P13" s="2"/>
      <x:c r="Q13" s="2"/>
      <x:c r="R13" s="2"/>
      <x:c r="S13" s="2"/>
      <x:c r="T13" s="2"/>
      <x:c r="U13" s="2"/>
      <x:c r="V13" s="2"/>
    </x:row>
    <x:row r="14">
      <x:c r="A14" s="28" t="str">
        <x:v>C05</x:v>
      </x:c>
      <x:c r="B14" s="28" t="str">
        <x:v>听涛雅苑</x:v>
      </x:c>
      <x:c r="C14" s="30" t="n">
        <x:f>SUMIFS('需求节点'!$G$6:$G$60,'需求节点'!$B$6:$B$60,$A14,'需求节点'!$N$6:$N$60,"是")</x:f>
        <x:v>1050</x:v>
      </x:c>
      <x:c r="D14" s="30" t="n">
        <x:f>COUNTIFS('需求节点'!$B$6:$B$60,$A14,'需求节点'!$N$6:$N$60,"是")</x:f>
        <x:v>10</x:v>
      </x:c>
      <x:c r="E14" s="30" t="n">
        <x:f>COUNTIFS('出入口'!$B$6:$B$30,$A14,'出入口'!$M$6:$M$30,"是")</x:f>
        <x:v>2</x:v>
      </x:c>
      <x:c r="F14" s="30" t="n">
        <x:f>COUNTIFS('设施点'!$B$6:$B$50,$A14,'设施点'!$Q$6:$Q$50,"是")</x:f>
        <x:v>3</x:v>
      </x:c>
      <x:c r="G14" s="30" t="n">
        <x:f>COUNTIFS('路网节点'!$B$6:$B$400,$A14,'路网节点'!$F$6:$F$400,"是")</x:f>
        <x:v>16</x:v>
      </x:c>
      <x:c r="H14" s="30" t="n">
        <x:f>COUNTIFS('路网边'!$B$6:$B$350,$A14,'路网边'!$G$6:$G$350,"&lt;&gt;否")</x:f>
        <x:v>16</x:v>
      </x:c>
      <x:c r="I14" s="30" t="n">
        <x:f>COUNTIFS('缺失与核验'!$A$6:$A$30,$A14,'缺失与核验'!$G$6:$G$30,"高",'缺失与核验'!$D$6:$D$30,"&lt;&gt;已清洗")</x:f>
        <x:v>3</x:v>
      </x:c>
      <x:c r="J14" s="32" t="str">
        <x:f>IF(AND(C14&gt;0,D14&gt;0,E14&gt;0,F14&gt;0,H14&gt;0),"可运行（含情景假设）","缺少关键输入")</x:f>
        <x:v>可运行（含情景假设）</x:v>
      </x:c>
      <x:c r="K14" s="2"/>
      <x:c r="L14" s="2"/>
      <x:c r="M14" s="2"/>
      <x:c r="N14" s="2"/>
      <x:c r="O14" s="2"/>
      <x:c r="P14" s="2"/>
      <x:c r="Q14" s="2"/>
      <x:c r="R14" s="2"/>
      <x:c r="S14" s="2"/>
      <x:c r="T14" s="2"/>
      <x:c r="U14" s="2"/>
      <x:c r="V14" s="2"/>
    </x:row>
    <x:row r="15">
      <x:c r="A15" s="2"/>
      <x:c r="B15" s="2"/>
      <x:c r="C15" s="2"/>
      <x:c r="D15" s="2"/>
      <x:c r="E15" s="2"/>
      <x:c r="F15" s="2"/>
      <x:c r="G15" s="2"/>
      <x:c r="H15" s="2"/>
      <x:c r="I15" s="2"/>
      <x:c r="J15" s="2"/>
      <x:c r="K15" s="2"/>
      <x:c r="L15" s="2"/>
      <x:c r="M15" s="2"/>
      <x:c r="N15" s="2"/>
      <x:c r="O15" s="2"/>
      <x:c r="P15" s="2"/>
      <x:c r="Q15" s="2"/>
      <x:c r="R15" s="2"/>
      <x:c r="S15" s="2"/>
      <x:c r="T15" s="2"/>
      <x:c r="U15" s="2"/>
      <x:c r="V15" s="2"/>
    </x:row>
    <x:row r="16">
      <x:c r="A16" s="2"/>
      <x:c r="B16" s="2"/>
      <x:c r="C16" s="2"/>
      <x:c r="D16" s="2"/>
      <x:c r="E16" s="2"/>
      <x:c r="F16" s="2"/>
      <x:c r="G16" s="2"/>
      <x:c r="H16" s="2"/>
      <x:c r="I16" s="2"/>
      <x:c r="J16" s="2"/>
      <x:c r="K16" s="2"/>
      <x:c r="L16" s="2"/>
      <x:c r="M16" s="2"/>
      <x:c r="N16" s="2"/>
      <x:c r="O16" s="2"/>
      <x:c r="P16" s="2"/>
      <x:c r="Q16" s="2"/>
      <x:c r="R16" s="2"/>
      <x:c r="S16" s="2"/>
      <x:c r="T16" s="2"/>
      <x:c r="U16" s="2"/>
      <x:c r="V16" s="2"/>
    </x:row>
    <x:row r="17">
      <x:c r="A17" s="35" t="str">
        <x:v>模型使用顺序</x:v>
      </x:c>
      <x:c r="B17" s="36"/>
      <x:c r="C17" s="36"/>
      <x:c r="D17" s="36"/>
      <x:c r="E17" s="36"/>
      <x:c r="F17" s="36"/>
      <x:c r="G17" s="36"/>
      <x:c r="H17" s="36"/>
      <x:c r="I17" s="36"/>
      <x:c r="J17" s="37"/>
      <x:c r="K17" s="2"/>
      <x:c r="L17" s="2"/>
      <x:c r="M17" s="2"/>
      <x:c r="N17" s="2"/>
      <x:c r="O17" s="2"/>
      <x:c r="P17" s="2"/>
      <x:c r="Q17" s="2"/>
      <x:c r="R17" s="2"/>
      <x:c r="S17" s="2"/>
      <x:c r="T17" s="2"/>
      <x:c r="U17" s="2"/>
      <x:c r="V17" s="2"/>
    </x:row>
    <x:row r="18" ht="26" customHeight="1">
      <x:c r="A18" s="38" t="str">
        <x:v>1. 从“需求节点”读取需求量。日均件量和峰值件量由“参数与来源”统一计算。</x:v>
      </x:c>
      <x:c r="B18" s="38"/>
      <x:c r="C18" s="38"/>
      <x:c r="D18" s="38"/>
      <x:c r="E18" s="38"/>
      <x:c r="F18" s="38"/>
      <x:c r="G18" s="38"/>
      <x:c r="H18" s="38"/>
      <x:c r="I18" s="38"/>
      <x:c r="J18" s="38"/>
      <x:c r="K18" s="2"/>
      <x:c r="L18" s="2"/>
      <x:c r="M18" s="2"/>
      <x:c r="N18" s="2"/>
      <x:c r="O18" s="2"/>
      <x:c r="P18" s="2"/>
      <x:c r="Q18" s="2"/>
      <x:c r="R18" s="2"/>
      <x:c r="S18" s="2"/>
      <x:c r="T18" s="2"/>
      <x:c r="U18" s="2"/>
      <x:c r="V18" s="2"/>
    </x:row>
    <x:row r="19" ht="26" customHeight="1">
      <x:c r="A19" s="38" t="str">
        <x:v>2. 从“设施点”读取现有设施和候选设施。是否允许模型选择=是的行可作为选址变量。</x:v>
      </x:c>
      <x:c r="B19" s="38"/>
      <x:c r="C19" s="38"/>
      <x:c r="D19" s="38"/>
      <x:c r="E19" s="38"/>
      <x:c r="F19" s="38"/>
      <x:c r="G19" s="38"/>
      <x:c r="H19" s="38"/>
      <x:c r="I19" s="38"/>
      <x:c r="J19" s="38"/>
      <x:c r="K19" s="2"/>
      <x:c r="L19" s="2"/>
      <x:c r="M19" s="2"/>
      <x:c r="N19" s="2"/>
      <x:c r="O19" s="2"/>
      <x:c r="P19" s="2"/>
      <x:c r="Q19" s="2"/>
      <x:c r="R19" s="2"/>
      <x:c r="S19" s="2"/>
      <x:c r="T19" s="2"/>
      <x:c r="U19" s="2"/>
      <x:c r="V19" s="2"/>
    </x:row>
    <x:row r="20" ht="26" customHeight="1">
      <x:c r="A20" s="38" t="str">
        <x:v>3. 从“路网节点”和“路网边”建立图网络。距离、速度和风险系数可转为路线成本。</x:v>
      </x:c>
      <x:c r="B20" s="38"/>
      <x:c r="C20" s="38"/>
      <x:c r="D20" s="38"/>
      <x:c r="E20" s="38"/>
      <x:c r="F20" s="38"/>
      <x:c r="G20" s="38"/>
      <x:c r="H20" s="38"/>
      <x:c r="I20" s="38"/>
      <x:c r="J20" s="38"/>
      <x:c r="K20" s="2"/>
      <x:c r="L20" s="2"/>
      <x:c r="M20" s="2"/>
      <x:c r="N20" s="2"/>
      <x:c r="O20" s="2"/>
      <x:c r="P20" s="2"/>
      <x:c r="Q20" s="2"/>
      <x:c r="R20" s="2"/>
      <x:c r="S20" s="2"/>
      <x:c r="T20" s="2"/>
      <x:c r="U20" s="2"/>
      <x:c r="V20" s="2"/>
    </x:row>
    <x:row r="21" ht="26" customHeight="1">
      <x:c r="A21" s="38" t="str">
        <x:v>4. “情景路网”和“待核验”记录可用于方案比较。现场测绘后保持ID不变并替换参数。</x:v>
      </x:c>
      <x:c r="B21" s="38"/>
      <x:c r="C21" s="38"/>
      <x:c r="D21" s="38"/>
      <x:c r="E21" s="38"/>
      <x:c r="F21" s="38"/>
      <x:c r="G21" s="38"/>
      <x:c r="H21" s="38"/>
      <x:c r="I21" s="38"/>
      <x:c r="J21" s="38"/>
      <x:c r="K21" s="2"/>
      <x:c r="L21" s="2"/>
      <x:c r="M21" s="2"/>
      <x:c r="N21" s="2"/>
      <x:c r="O21" s="2"/>
      <x:c r="P21" s="2"/>
      <x:c r="Q21" s="2"/>
      <x:c r="R21" s="2"/>
      <x:c r="S21" s="2"/>
      <x:c r="T21" s="2"/>
      <x:c r="U21" s="2"/>
      <x:c r="V21" s="2"/>
    </x:row>
    <x:row r="22">
      <x:c r="A22" s="2"/>
      <x:c r="B22" s="2"/>
      <x:c r="C22" s="2"/>
      <x:c r="D22" s="2"/>
      <x:c r="E22" s="2"/>
      <x:c r="F22" s="2"/>
      <x:c r="G22" s="2"/>
      <x:c r="H22" s="2"/>
      <x:c r="I22" s="2"/>
      <x:c r="J22" s="2"/>
      <x:c r="K22" s="2"/>
      <x:c r="L22" s="2"/>
      <x:c r="M22" s="2"/>
      <x:c r="N22" s="2"/>
      <x:c r="O22" s="2"/>
      <x:c r="P22" s="2"/>
      <x:c r="Q22" s="2"/>
      <x:c r="R22" s="2"/>
      <x:c r="S22" s="2"/>
      <x:c r="T22" s="2"/>
      <x:c r="U22" s="2"/>
      <x:c r="V22" s="2"/>
    </x:row>
    <x:row r="23">
      <x:c r="A23" s="2"/>
      <x:c r="B23" s="2"/>
      <x:c r="C23" s="2"/>
      <x:c r="D23" s="2"/>
      <x:c r="E23" s="2"/>
      <x:c r="F23" s="2"/>
      <x:c r="G23" s="2"/>
      <x:c r="H23" s="2"/>
      <x:c r="I23" s="2"/>
      <x:c r="J23" s="2"/>
      <x:c r="K23" s="2"/>
      <x:c r="L23" s="2"/>
      <x:c r="M23" s="2"/>
      <x:c r="N23" s="2"/>
      <x:c r="O23" s="2"/>
      <x:c r="P23" s="2"/>
      <x:c r="Q23" s="2"/>
      <x:c r="R23" s="2"/>
      <x:c r="S23" s="2"/>
      <x:c r="T23" s="2"/>
      <x:c r="U23" s="2"/>
      <x:c r="V23" s="2"/>
    </x:row>
    <x:row r="24">
      <x:c r="A24" s="2"/>
      <x:c r="B24" s="2"/>
      <x:c r="C24" s="2"/>
      <x:c r="D24" s="2"/>
      <x:c r="E24" s="2"/>
      <x:c r="F24" s="2"/>
      <x:c r="G24" s="2"/>
      <x:c r="H24" s="2"/>
      <x:c r="I24" s="2"/>
      <x:c r="J24" s="2"/>
      <x:c r="K24" s="2"/>
      <x:c r="L24" s="2"/>
      <x:c r="M24" s="2"/>
      <x:c r="N24" s="2"/>
      <x:c r="O24" s="2"/>
      <x:c r="P24" s="2"/>
      <x:c r="Q24" s="2"/>
      <x:c r="R24" s="2"/>
      <x:c r="S24" s="2"/>
      <x:c r="T24" s="2"/>
      <x:c r="U24" s="2"/>
      <x:c r="V24" s="2"/>
    </x:row>
    <x:row r="25">
      <x:c r="A25" s="2"/>
      <x:c r="B25" s="2"/>
      <x:c r="C25" s="2"/>
      <x:c r="D25" s="2"/>
      <x:c r="E25" s="2"/>
      <x:c r="F25" s="2"/>
      <x:c r="G25" s="2"/>
      <x:c r="H25" s="2"/>
      <x:c r="I25" s="2"/>
      <x:c r="J25" s="2"/>
      <x:c r="K25" s="2"/>
      <x:c r="L25" s="2"/>
      <x:c r="M25" s="2"/>
      <x:c r="N25" s="2"/>
      <x:c r="O25" s="2"/>
      <x:c r="P25" s="2"/>
      <x:c r="Q25" s="2"/>
      <x:c r="R25" s="2"/>
      <x:c r="S25" s="2"/>
      <x:c r="T25" s="2"/>
      <x:c r="U25" s="2"/>
      <x:c r="V25" s="2"/>
    </x:row>
    <x:row r="26">
      <x:c r="A26" s="2"/>
      <x:c r="B26" s="2"/>
      <x:c r="C26" s="2"/>
      <x:c r="D26" s="2"/>
      <x:c r="E26" s="2"/>
      <x:c r="F26" s="2"/>
      <x:c r="G26" s="2"/>
      <x:c r="H26" s="2"/>
      <x:c r="I26" s="2"/>
      <x:c r="J26" s="2"/>
      <x:c r="K26" s="2"/>
      <x:c r="L26" s="2"/>
      <x:c r="M26" s="2"/>
      <x:c r="N26" s="2"/>
      <x:c r="O26" s="2"/>
      <x:c r="P26" s="2"/>
      <x:c r="Q26" s="2"/>
      <x:c r="R26" s="2"/>
      <x:c r="S26" s="2"/>
      <x:c r="T26" s="2"/>
      <x:c r="U26" s="2"/>
      <x:c r="V26" s="2"/>
    </x:row>
    <x:row r="27">
      <x:c r="A27" s="2"/>
      <x:c r="B27" s="2"/>
      <x:c r="C27" s="2"/>
      <x:c r="D27" s="2"/>
      <x:c r="E27" s="2"/>
      <x:c r="F27" s="2"/>
      <x:c r="G27" s="2"/>
      <x:c r="H27" s="2"/>
      <x:c r="I27" s="2"/>
      <x:c r="J27" s="2"/>
      <x:c r="K27" s="2"/>
      <x:c r="L27" s="2"/>
      <x:c r="M27" s="2"/>
      <x:c r="N27" s="2"/>
      <x:c r="O27" s="2"/>
      <x:c r="P27" s="2"/>
      <x:c r="Q27" s="2"/>
      <x:c r="R27" s="2"/>
      <x:c r="S27" s="2"/>
      <x:c r="T27" s="2"/>
      <x:c r="U27" s="2"/>
      <x:c r="V27" s="2"/>
    </x:row>
    <x:row r="28">
      <x:c r="A28" s="2"/>
      <x:c r="B28" s="2"/>
      <x:c r="C28" s="2"/>
      <x:c r="D28" s="2"/>
      <x:c r="E28" s="2"/>
      <x:c r="F28" s="2"/>
      <x:c r="G28" s="2"/>
      <x:c r="H28" s="2"/>
      <x:c r="I28" s="2"/>
      <x:c r="J28" s="2"/>
      <x:c r="K28" s="2"/>
      <x:c r="L28" s="2"/>
      <x:c r="M28" s="2"/>
      <x:c r="N28" s="2"/>
      <x:c r="O28" s="2"/>
      <x:c r="P28" s="2"/>
      <x:c r="Q28" s="2"/>
      <x:c r="R28" s="2"/>
      <x:c r="S28" s="2"/>
      <x:c r="T28" s="2"/>
      <x:c r="U28" s="2"/>
      <x:c r="V28" s="2"/>
    </x:row>
    <x:row r="29">
      <x:c r="A29" s="2"/>
      <x:c r="B29" s="2"/>
      <x:c r="C29" s="2"/>
      <x:c r="D29" s="2"/>
      <x:c r="E29" s="2"/>
      <x:c r="F29" s="2"/>
      <x:c r="G29" s="2"/>
      <x:c r="H29" s="2"/>
      <x:c r="I29" s="2"/>
      <x:c r="J29" s="2"/>
      <x:c r="K29" s="2"/>
      <x:c r="L29" s="2"/>
      <x:c r="M29" s="2"/>
      <x:c r="N29" s="2"/>
      <x:c r="O29" s="2"/>
      <x:c r="P29" s="2"/>
      <x:c r="Q29" s="2"/>
      <x:c r="R29" s="2"/>
      <x:c r="S29" s="2"/>
      <x:c r="T29" s="2"/>
      <x:c r="U29" s="2"/>
      <x:c r="V29" s="2"/>
    </x:row>
    <x:row r="30">
      <x:c r="A30" s="2"/>
      <x:c r="B30" s="2"/>
      <x:c r="C30" s="2"/>
      <x:c r="D30" s="2"/>
      <x:c r="E30" s="2"/>
      <x:c r="F30" s="2"/>
      <x:c r="G30" s="2"/>
      <x:c r="H30" s="2"/>
      <x:c r="I30" s="2"/>
      <x:c r="J30" s="2"/>
      <x:c r="K30" s="2"/>
      <x:c r="L30" s="2"/>
      <x:c r="M30" s="2"/>
      <x:c r="N30" s="2"/>
      <x:c r="O30" s="2"/>
      <x:c r="P30" s="2"/>
      <x:c r="Q30" s="2"/>
      <x:c r="R30" s="2"/>
      <x:c r="S30" s="2"/>
      <x:c r="T30" s="2"/>
      <x:c r="U30" s="2"/>
      <x:c r="V30" s="2"/>
    </x:row>
    <x:row r="31">
      <x:c r="A31" s="2"/>
      <x:c r="B31" s="2"/>
      <x:c r="C31" s="2"/>
      <x:c r="D31" s="2"/>
      <x:c r="E31" s="2"/>
      <x:c r="F31" s="2"/>
      <x:c r="G31" s="2"/>
      <x:c r="H31" s="2"/>
      <x:c r="I31" s="2"/>
      <x:c r="J31" s="2"/>
      <x:c r="K31" s="2"/>
      <x:c r="L31" s="2"/>
      <x:c r="M31" s="2"/>
      <x:c r="N31" s="2"/>
      <x:c r="O31" s="2"/>
      <x:c r="P31" s="2"/>
      <x:c r="Q31" s="2"/>
      <x:c r="R31" s="2"/>
      <x:c r="S31" s="2"/>
      <x:c r="T31" s="2"/>
      <x:c r="U31" s="2"/>
      <x:c r="V31" s="2"/>
    </x:row>
    <x:row r="32">
      <x:c r="A32" s="2"/>
      <x:c r="B32" s="2"/>
      <x:c r="C32" s="2"/>
      <x:c r="D32" s="2"/>
      <x:c r="E32" s="2"/>
      <x:c r="F32" s="2"/>
      <x:c r="G32" s="2"/>
      <x:c r="H32" s="2"/>
      <x:c r="I32" s="2"/>
      <x:c r="J32" s="2"/>
      <x:c r="K32" s="2"/>
      <x:c r="L32" s="2"/>
      <x:c r="M32" s="2"/>
      <x:c r="N32" s="2"/>
      <x:c r="O32" s="2"/>
      <x:c r="P32" s="2"/>
      <x:c r="Q32" s="2"/>
      <x:c r="R32" s="2"/>
      <x:c r="S32" s="2"/>
      <x:c r="T32" s="2"/>
      <x:c r="U32" s="2"/>
      <x:c r="V32" s="2"/>
    </x:row>
    <x:row r="33">
      <x:c r="A33" s="2"/>
      <x:c r="B33" s="2"/>
      <x:c r="C33" s="2"/>
      <x:c r="D33" s="2"/>
      <x:c r="E33" s="2"/>
      <x:c r="F33" s="2"/>
      <x:c r="G33" s="2"/>
      <x:c r="H33" s="2"/>
      <x:c r="I33" s="2"/>
      <x:c r="J33" s="2"/>
      <x:c r="K33" s="2"/>
      <x:c r="L33" s="2"/>
      <x:c r="M33" s="2"/>
      <x:c r="N33" s="2"/>
      <x:c r="O33" s="2"/>
      <x:c r="P33" s="2"/>
      <x:c r="Q33" s="2"/>
      <x:c r="R33" s="2"/>
      <x:c r="S33" s="2"/>
      <x:c r="T33" s="2"/>
      <x:c r="U33" s="2"/>
      <x:c r="V33" s="2"/>
    </x:row>
    <x:row r="34">
      <x:c r="A34" s="2"/>
      <x:c r="B34" s="2"/>
      <x:c r="C34" s="2"/>
      <x:c r="D34" s="2"/>
      <x:c r="E34" s="2"/>
      <x:c r="F34" s="2"/>
      <x:c r="G34" s="2"/>
      <x:c r="H34" s="2"/>
      <x:c r="I34" s="2"/>
      <x:c r="J34" s="2"/>
      <x:c r="K34" s="2"/>
      <x:c r="L34" s="2"/>
      <x:c r="M34" s="2"/>
      <x:c r="N34" s="2"/>
      <x:c r="O34" s="2"/>
      <x:c r="P34" s="2"/>
      <x:c r="Q34" s="2"/>
      <x:c r="R34" s="2"/>
      <x:c r="S34" s="2"/>
      <x:c r="T34" s="2"/>
      <x:c r="U34" s="2"/>
      <x:c r="V34" s="2"/>
    </x:row>
    <x:row r="35">
      <x:c r="A35" s="2"/>
      <x:c r="B35" s="2"/>
      <x:c r="C35" s="2"/>
      <x:c r="D35" s="2"/>
      <x:c r="E35" s="2"/>
      <x:c r="F35" s="2"/>
      <x:c r="G35" s="2"/>
      <x:c r="H35" s="2"/>
      <x:c r="I35" s="2"/>
      <x:c r="J35" s="2"/>
      <x:c r="K35" s="2"/>
      <x:c r="L35" s="2"/>
      <x:c r="M35" s="2"/>
      <x:c r="N35" s="2"/>
      <x:c r="O35" s="2"/>
      <x:c r="P35" s="2"/>
      <x:c r="Q35" s="2"/>
      <x:c r="R35" s="2"/>
      <x:c r="S35" s="2"/>
      <x:c r="T35" s="2"/>
      <x:c r="U35" s="2"/>
      <x:c r="V35" s="2"/>
    </x:row>
    <x:row r="36">
      <x:c r="A36" s="2"/>
      <x:c r="B36" s="2"/>
      <x:c r="C36" s="2"/>
      <x:c r="D36" s="2"/>
      <x:c r="E36" s="2"/>
      <x:c r="F36" s="2"/>
      <x:c r="G36" s="2"/>
      <x:c r="H36" s="2"/>
      <x:c r="I36" s="2"/>
      <x:c r="J36" s="2"/>
      <x:c r="K36" s="2"/>
      <x:c r="L36" s="2"/>
      <x:c r="M36" s="2"/>
      <x:c r="N36" s="2"/>
      <x:c r="O36" s="2"/>
      <x:c r="P36" s="2"/>
      <x:c r="Q36" s="2"/>
      <x:c r="R36" s="2"/>
      <x:c r="S36" s="2"/>
      <x:c r="T36" s="2"/>
      <x:c r="U36" s="2"/>
      <x:c r="V36" s="2"/>
    </x:row>
    <x:row r="37">
      <x:c r="A37" s="2"/>
      <x:c r="B37" s="2"/>
      <x:c r="C37" s="2"/>
      <x:c r="D37" s="2"/>
      <x:c r="E37" s="2"/>
      <x:c r="F37" s="2"/>
      <x:c r="G37" s="2"/>
      <x:c r="H37" s="2"/>
      <x:c r="I37" s="2"/>
      <x:c r="J37" s="2"/>
      <x:c r="K37" s="2"/>
      <x:c r="L37" s="2"/>
      <x:c r="M37" s="2"/>
      <x:c r="N37" s="2"/>
      <x:c r="O37" s="2"/>
      <x:c r="P37" s="2"/>
      <x:c r="Q37" s="2"/>
      <x:c r="R37" s="2"/>
      <x:c r="S37" s="2"/>
      <x:c r="T37" s="2"/>
      <x:c r="U37" s="2"/>
      <x:c r="V37" s="2"/>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row r="66">
      <x:c r="A66" s="2"/>
      <x:c r="B66" s="2"/>
      <x:c r="C66" s="2"/>
      <x:c r="D66" s="2"/>
      <x:c r="E66" s="2"/>
      <x:c r="F66" s="2"/>
      <x:c r="G66" s="2"/>
      <x:c r="H66" s="2"/>
      <x:c r="I66" s="2"/>
      <x:c r="J66" s="2"/>
      <x:c r="K66" s="2"/>
      <x:c r="L66" s="2"/>
      <x:c r="M66" s="2"/>
      <x:c r="N66" s="2"/>
      <x:c r="O66" s="2"/>
      <x:c r="P66" s="2"/>
      <x:c r="Q66" s="2"/>
      <x:c r="R66" s="2"/>
      <x:c r="S66" s="2"/>
      <x:c r="T66" s="2"/>
      <x:c r="U66" s="2"/>
      <x:c r="V66" s="2"/>
    </x:row>
    <x:row r="67">
      <x:c r="A67" s="2"/>
      <x:c r="B67" s="2"/>
      <x:c r="C67" s="2"/>
      <x:c r="D67" s="2"/>
      <x:c r="E67" s="2"/>
      <x:c r="F67" s="2"/>
      <x:c r="G67" s="2"/>
      <x:c r="H67" s="2"/>
      <x:c r="I67" s="2"/>
      <x:c r="J67" s="2"/>
      <x:c r="K67" s="2"/>
      <x:c r="L67" s="2"/>
      <x:c r="M67" s="2"/>
      <x:c r="N67" s="2"/>
      <x:c r="O67" s="2"/>
      <x:c r="P67" s="2"/>
      <x:c r="Q67" s="2"/>
      <x:c r="R67" s="2"/>
      <x:c r="S67" s="2"/>
      <x:c r="T67" s="2"/>
      <x:c r="U67" s="2"/>
      <x:c r="V67" s="2"/>
    </x:row>
    <x:row r="68">
      <x:c r="A68" s="2"/>
      <x:c r="B68" s="2"/>
      <x:c r="C68" s="2"/>
      <x:c r="D68" s="2"/>
      <x:c r="E68" s="2"/>
      <x:c r="F68" s="2"/>
      <x:c r="G68" s="2"/>
      <x:c r="H68" s="2"/>
      <x:c r="I68" s="2"/>
      <x:c r="J68" s="2"/>
      <x:c r="K68" s="2"/>
      <x:c r="L68" s="2"/>
      <x:c r="M68" s="2"/>
      <x:c r="N68" s="2"/>
      <x:c r="O68" s="2"/>
      <x:c r="P68" s="2"/>
      <x:c r="Q68" s="2"/>
      <x:c r="R68" s="2"/>
      <x:c r="S68" s="2"/>
      <x:c r="T68" s="2"/>
      <x:c r="U68" s="2"/>
      <x:c r="V68" s="2"/>
    </x:row>
    <x:row r="69">
      <x:c r="A69" s="2"/>
      <x:c r="B69" s="2"/>
      <x:c r="C69" s="2"/>
      <x:c r="D69" s="2"/>
      <x:c r="E69" s="2"/>
      <x:c r="F69" s="2"/>
      <x:c r="G69" s="2"/>
      <x:c r="H69" s="2"/>
      <x:c r="I69" s="2"/>
      <x:c r="J69" s="2"/>
      <x:c r="K69" s="2"/>
      <x:c r="L69" s="2"/>
      <x:c r="M69" s="2"/>
      <x:c r="N69" s="2"/>
      <x:c r="O69" s="2"/>
      <x:c r="P69" s="2"/>
      <x:c r="Q69" s="2"/>
      <x:c r="R69" s="2"/>
      <x:c r="S69" s="2"/>
      <x:c r="T69" s="2"/>
      <x:c r="U69" s="2"/>
      <x:c r="V69" s="2"/>
    </x:row>
    <x:row r="70">
      <x:c r="A70" s="2"/>
      <x:c r="B70" s="2"/>
      <x:c r="C70" s="2"/>
      <x:c r="D70" s="2"/>
      <x:c r="E70" s="2"/>
      <x:c r="F70" s="2"/>
      <x:c r="G70" s="2"/>
      <x:c r="H70" s="2"/>
      <x:c r="I70" s="2"/>
      <x:c r="J70" s="2"/>
      <x:c r="K70" s="2"/>
      <x:c r="L70" s="2"/>
      <x:c r="M70" s="2"/>
      <x:c r="N70" s="2"/>
      <x:c r="O70" s="2"/>
      <x:c r="P70" s="2"/>
      <x:c r="Q70" s="2"/>
      <x:c r="R70" s="2"/>
      <x:c r="S70" s="2"/>
      <x:c r="T70" s="2"/>
      <x:c r="U70" s="2"/>
      <x:c r="V70" s="2"/>
    </x:row>
    <x:row r="71">
      <x:c r="A71" s="2"/>
      <x:c r="B71" s="2"/>
      <x:c r="C71" s="2"/>
      <x:c r="D71" s="2"/>
      <x:c r="E71" s="2"/>
      <x:c r="F71" s="2"/>
      <x:c r="G71" s="2"/>
      <x:c r="H71" s="2"/>
      <x:c r="I71" s="2"/>
      <x:c r="J71" s="2"/>
      <x:c r="K71" s="2"/>
      <x:c r="L71" s="2"/>
      <x:c r="M71" s="2"/>
      <x:c r="N71" s="2"/>
      <x:c r="O71" s="2"/>
      <x:c r="P71" s="2"/>
      <x:c r="Q71" s="2"/>
      <x:c r="R71" s="2"/>
      <x:c r="S71" s="2"/>
      <x:c r="T71" s="2"/>
      <x:c r="U71" s="2"/>
      <x:c r="V71" s="2"/>
    </x:row>
    <x:row r="72">
      <x:c r="A72" s="2"/>
      <x:c r="B72" s="2"/>
      <x:c r="C72" s="2"/>
      <x:c r="D72" s="2"/>
      <x:c r="E72" s="2"/>
      <x:c r="F72" s="2"/>
      <x:c r="G72" s="2"/>
      <x:c r="H72" s="2"/>
      <x:c r="I72" s="2"/>
      <x:c r="J72" s="2"/>
      <x:c r="K72" s="2"/>
      <x:c r="L72" s="2"/>
      <x:c r="M72" s="2"/>
      <x:c r="N72" s="2"/>
      <x:c r="O72" s="2"/>
      <x:c r="P72" s="2"/>
      <x:c r="Q72" s="2"/>
      <x:c r="R72" s="2"/>
      <x:c r="S72" s="2"/>
      <x:c r="T72" s="2"/>
      <x:c r="U72" s="2"/>
      <x:c r="V72" s="2"/>
    </x:row>
    <x:row r="73">
      <x:c r="A73" s="2"/>
      <x:c r="B73" s="2"/>
      <x:c r="C73" s="2"/>
      <x:c r="D73" s="2"/>
      <x:c r="E73" s="2"/>
      <x:c r="F73" s="2"/>
      <x:c r="G73" s="2"/>
      <x:c r="H73" s="2"/>
      <x:c r="I73" s="2"/>
      <x:c r="J73" s="2"/>
      <x:c r="K73" s="2"/>
      <x:c r="L73" s="2"/>
      <x:c r="M73" s="2"/>
      <x:c r="N73" s="2"/>
      <x:c r="O73" s="2"/>
      <x:c r="P73" s="2"/>
      <x:c r="Q73" s="2"/>
      <x:c r="R73" s="2"/>
      <x:c r="S73" s="2"/>
      <x:c r="T73" s="2"/>
      <x:c r="U73" s="2"/>
      <x:c r="V73" s="2"/>
    </x:row>
    <x:row r="74">
      <x:c r="A74" s="2"/>
      <x:c r="B74" s="2"/>
      <x:c r="C74" s="2"/>
      <x:c r="D74" s="2"/>
      <x:c r="E74" s="2"/>
      <x:c r="F74" s="2"/>
      <x:c r="G74" s="2"/>
      <x:c r="H74" s="2"/>
      <x:c r="I74" s="2"/>
      <x:c r="J74" s="2"/>
      <x:c r="K74" s="2"/>
      <x:c r="L74" s="2"/>
      <x:c r="M74" s="2"/>
      <x:c r="N74" s="2"/>
      <x:c r="O74" s="2"/>
      <x:c r="P74" s="2"/>
      <x:c r="Q74" s="2"/>
      <x:c r="R74" s="2"/>
      <x:c r="S74" s="2"/>
      <x:c r="T74" s="2"/>
      <x:c r="U74" s="2"/>
      <x:c r="V74" s="2"/>
    </x:row>
    <x:row r="75">
      <x:c r="A75" s="2"/>
      <x:c r="B75" s="2"/>
      <x:c r="C75" s="2"/>
      <x:c r="D75" s="2"/>
      <x:c r="E75" s="2"/>
      <x:c r="F75" s="2"/>
      <x:c r="G75" s="2"/>
      <x:c r="H75" s="2"/>
      <x:c r="I75" s="2"/>
      <x:c r="J75" s="2"/>
      <x:c r="K75" s="2"/>
      <x:c r="L75" s="2"/>
      <x:c r="M75" s="2"/>
      <x:c r="N75" s="2"/>
      <x:c r="O75" s="2"/>
      <x:c r="P75" s="2"/>
      <x:c r="Q75" s="2"/>
      <x:c r="R75" s="2"/>
      <x:c r="S75" s="2"/>
      <x:c r="T75" s="2"/>
      <x:c r="U75" s="2"/>
      <x:c r="V75" s="2"/>
    </x:row>
    <x:row r="76">
      <x:c r="A76" s="2"/>
      <x:c r="B76" s="2"/>
      <x:c r="C76" s="2"/>
      <x:c r="D76" s="2"/>
      <x:c r="E76" s="2"/>
      <x:c r="F76" s="2"/>
      <x:c r="G76" s="2"/>
      <x:c r="H76" s="2"/>
      <x:c r="I76" s="2"/>
      <x:c r="J76" s="2"/>
      <x:c r="K76" s="2"/>
      <x:c r="L76" s="2"/>
      <x:c r="M76" s="2"/>
      <x:c r="N76" s="2"/>
      <x:c r="O76" s="2"/>
      <x:c r="P76" s="2"/>
      <x:c r="Q76" s="2"/>
      <x:c r="R76" s="2"/>
      <x:c r="S76" s="2"/>
      <x:c r="T76" s="2"/>
      <x:c r="U76" s="2"/>
      <x:c r="V76" s="2"/>
    </x:row>
    <x:row r="77">
      <x:c r="A77" s="2"/>
      <x:c r="B77" s="2"/>
      <x:c r="C77" s="2"/>
      <x:c r="D77" s="2"/>
      <x:c r="E77" s="2"/>
      <x:c r="F77" s="2"/>
      <x:c r="G77" s="2"/>
      <x:c r="H77" s="2"/>
      <x:c r="I77" s="2"/>
      <x:c r="J77" s="2"/>
      <x:c r="K77" s="2"/>
      <x:c r="L77" s="2"/>
      <x:c r="M77" s="2"/>
      <x:c r="N77" s="2"/>
      <x:c r="O77" s="2"/>
      <x:c r="P77" s="2"/>
      <x:c r="Q77" s="2"/>
      <x:c r="R77" s="2"/>
      <x:c r="S77" s="2"/>
      <x:c r="T77" s="2"/>
      <x:c r="U77" s="2"/>
      <x:c r="V77" s="2"/>
    </x:row>
    <x:row r="78">
      <x:c r="A78" s="2"/>
      <x:c r="B78" s="2"/>
      <x:c r="C78" s="2"/>
      <x:c r="D78" s="2"/>
      <x:c r="E78" s="2"/>
      <x:c r="F78" s="2"/>
      <x:c r="G78" s="2"/>
      <x:c r="H78" s="2"/>
      <x:c r="I78" s="2"/>
      <x:c r="J78" s="2"/>
      <x:c r="K78" s="2"/>
      <x:c r="L78" s="2"/>
      <x:c r="M78" s="2"/>
      <x:c r="N78" s="2"/>
      <x:c r="O78" s="2"/>
      <x:c r="P78" s="2"/>
      <x:c r="Q78" s="2"/>
      <x:c r="R78" s="2"/>
      <x:c r="S78" s="2"/>
      <x:c r="T78" s="2"/>
      <x:c r="U78" s="2"/>
      <x:c r="V78" s="2"/>
    </x:row>
    <x:row r="79">
      <x:c r="A79" s="2"/>
      <x:c r="B79" s="2"/>
      <x:c r="C79" s="2"/>
      <x:c r="D79" s="2"/>
      <x:c r="E79" s="2"/>
      <x:c r="F79" s="2"/>
      <x:c r="G79" s="2"/>
      <x:c r="H79" s="2"/>
      <x:c r="I79" s="2"/>
      <x:c r="J79" s="2"/>
      <x:c r="K79" s="2"/>
      <x:c r="L79" s="2"/>
      <x:c r="M79" s="2"/>
      <x:c r="N79" s="2"/>
      <x:c r="O79" s="2"/>
      <x:c r="P79" s="2"/>
      <x:c r="Q79" s="2"/>
      <x:c r="R79" s="2"/>
      <x:c r="S79" s="2"/>
      <x:c r="T79" s="2"/>
      <x:c r="U79" s="2"/>
      <x:c r="V79" s="2"/>
    </x:row>
    <x:row r="80">
      <x:c r="A80" s="2"/>
      <x:c r="B80" s="2"/>
      <x:c r="C80" s="2"/>
      <x:c r="D80" s="2"/>
      <x:c r="E80" s="2"/>
      <x:c r="F80" s="2"/>
      <x:c r="G80" s="2"/>
      <x:c r="H80" s="2"/>
      <x:c r="I80" s="2"/>
      <x:c r="J80" s="2"/>
      <x:c r="K80" s="2"/>
      <x:c r="L80" s="2"/>
      <x:c r="M80" s="2"/>
      <x:c r="N80" s="2"/>
      <x:c r="O80" s="2"/>
      <x:c r="P80" s="2"/>
      <x:c r="Q80" s="2"/>
      <x:c r="R80" s="2"/>
      <x:c r="S80" s="2"/>
      <x:c r="T80" s="2"/>
      <x:c r="U80" s="2"/>
      <x:c r="V80" s="2"/>
    </x:row>
    <x:row r="81">
      <x:c r="A81" s="2"/>
      <x:c r="B81" s="2"/>
      <x:c r="C81" s="2"/>
      <x:c r="D81" s="2"/>
      <x:c r="E81" s="2"/>
      <x:c r="F81" s="2"/>
      <x:c r="G81" s="2"/>
      <x:c r="H81" s="2"/>
      <x:c r="I81" s="2"/>
      <x:c r="J81" s="2"/>
      <x:c r="K81" s="2"/>
      <x:c r="L81" s="2"/>
      <x:c r="M81" s="2"/>
      <x:c r="N81" s="2"/>
      <x:c r="O81" s="2"/>
      <x:c r="P81" s="2"/>
      <x:c r="Q81" s="2"/>
      <x:c r="R81" s="2"/>
      <x:c r="S81" s="2"/>
      <x:c r="T81" s="2"/>
      <x:c r="U81" s="2"/>
      <x:c r="V81" s="2"/>
    </x:row>
    <x:row r="82">
      <x:c r="A82" s="2"/>
      <x:c r="B82" s="2"/>
      <x:c r="C82" s="2"/>
      <x:c r="D82" s="2"/>
      <x:c r="E82" s="2"/>
      <x:c r="F82" s="2"/>
      <x:c r="G82" s="2"/>
      <x:c r="H82" s="2"/>
      <x:c r="I82" s="2"/>
      <x:c r="J82" s="2"/>
      <x:c r="K82" s="2"/>
      <x:c r="L82" s="2"/>
      <x:c r="M82" s="2"/>
      <x:c r="N82" s="2"/>
      <x:c r="O82" s="2"/>
      <x:c r="P82" s="2"/>
      <x:c r="Q82" s="2"/>
      <x:c r="R82" s="2"/>
      <x:c r="S82" s="2"/>
      <x:c r="T82" s="2"/>
      <x:c r="U82" s="2"/>
      <x:c r="V82" s="2"/>
    </x:row>
    <x:row r="83">
      <x:c r="A83" s="2"/>
      <x:c r="B83" s="2"/>
      <x:c r="C83" s="2"/>
      <x:c r="D83" s="2"/>
      <x:c r="E83" s="2"/>
      <x:c r="F83" s="2"/>
      <x:c r="G83" s="2"/>
      <x:c r="H83" s="2"/>
      <x:c r="I83" s="2"/>
      <x:c r="J83" s="2"/>
      <x:c r="K83" s="2"/>
      <x:c r="L83" s="2"/>
      <x:c r="M83" s="2"/>
      <x:c r="N83" s="2"/>
      <x:c r="O83" s="2"/>
      <x:c r="P83" s="2"/>
      <x:c r="Q83" s="2"/>
      <x:c r="R83" s="2"/>
      <x:c r="S83" s="2"/>
      <x:c r="T83" s="2"/>
      <x:c r="U83" s="2"/>
      <x:c r="V83" s="2"/>
    </x:row>
    <x:row r="84">
      <x:c r="A84" s="2"/>
      <x:c r="B84" s="2"/>
      <x:c r="C84" s="2"/>
      <x:c r="D84" s="2"/>
      <x:c r="E84" s="2"/>
      <x:c r="F84" s="2"/>
      <x:c r="G84" s="2"/>
      <x:c r="H84" s="2"/>
      <x:c r="I84" s="2"/>
      <x:c r="J84" s="2"/>
      <x:c r="K84" s="2"/>
      <x:c r="L84" s="2"/>
      <x:c r="M84" s="2"/>
      <x:c r="N84" s="2"/>
      <x:c r="O84" s="2"/>
      <x:c r="P84" s="2"/>
      <x:c r="Q84" s="2"/>
      <x:c r="R84" s="2"/>
      <x:c r="S84" s="2"/>
      <x:c r="T84" s="2"/>
      <x:c r="U84" s="2"/>
      <x:c r="V84" s="2"/>
    </x:row>
    <x:row r="85">
      <x:c r="A85" s="2"/>
      <x:c r="B85" s="2"/>
      <x:c r="C85" s="2"/>
      <x:c r="D85" s="2"/>
      <x:c r="E85" s="2"/>
      <x:c r="F85" s="2"/>
      <x:c r="G85" s="2"/>
      <x:c r="H85" s="2"/>
      <x:c r="I85" s="2"/>
      <x:c r="J85" s="2"/>
      <x:c r="K85" s="2"/>
      <x:c r="L85" s="2"/>
      <x:c r="M85" s="2"/>
      <x:c r="N85" s="2"/>
      <x:c r="O85" s="2"/>
      <x:c r="P85" s="2"/>
      <x:c r="Q85" s="2"/>
      <x:c r="R85" s="2"/>
      <x:c r="S85" s="2"/>
      <x:c r="T85" s="2"/>
      <x:c r="U85" s="2"/>
      <x:c r="V85" s="2"/>
    </x:row>
    <x:row r="86">
      <x:c r="A86" s="2"/>
      <x:c r="B86" s="2"/>
      <x:c r="C86" s="2"/>
      <x:c r="D86" s="2"/>
      <x:c r="E86" s="2"/>
      <x:c r="F86" s="2"/>
      <x:c r="G86" s="2"/>
      <x:c r="H86" s="2"/>
      <x:c r="I86" s="2"/>
      <x:c r="J86" s="2"/>
      <x:c r="K86" s="2"/>
      <x:c r="L86" s="2"/>
      <x:c r="M86" s="2"/>
      <x:c r="N86" s="2"/>
      <x:c r="O86" s="2"/>
      <x:c r="P86" s="2"/>
      <x:c r="Q86" s="2"/>
      <x:c r="R86" s="2"/>
      <x:c r="S86" s="2"/>
      <x:c r="T86" s="2"/>
      <x:c r="U86" s="2"/>
      <x:c r="V86" s="2"/>
    </x:row>
    <x:row r="87">
      <x:c r="A87" s="2"/>
      <x:c r="B87" s="2"/>
      <x:c r="C87" s="2"/>
      <x:c r="D87" s="2"/>
      <x:c r="E87" s="2"/>
      <x:c r="F87" s="2"/>
      <x:c r="G87" s="2"/>
      <x:c r="H87" s="2"/>
      <x:c r="I87" s="2"/>
      <x:c r="J87" s="2"/>
      <x:c r="K87" s="2"/>
      <x:c r="L87" s="2"/>
      <x:c r="M87" s="2"/>
      <x:c r="N87" s="2"/>
      <x:c r="O87" s="2"/>
      <x:c r="P87" s="2"/>
      <x:c r="Q87" s="2"/>
      <x:c r="R87" s="2"/>
      <x:c r="S87" s="2"/>
      <x:c r="T87" s="2"/>
      <x:c r="U87" s="2"/>
      <x:c r="V87" s="2"/>
    </x:row>
    <x:row r="88">
      <x:c r="A88" s="2"/>
      <x:c r="B88" s="2"/>
      <x:c r="C88" s="2"/>
      <x:c r="D88" s="2"/>
      <x:c r="E88" s="2"/>
      <x:c r="F88" s="2"/>
      <x:c r="G88" s="2"/>
      <x:c r="H88" s="2"/>
      <x:c r="I88" s="2"/>
      <x:c r="J88" s="2"/>
      <x:c r="K88" s="2"/>
      <x:c r="L88" s="2"/>
      <x:c r="M88" s="2"/>
      <x:c r="N88" s="2"/>
      <x:c r="O88" s="2"/>
      <x:c r="P88" s="2"/>
      <x:c r="Q88" s="2"/>
      <x:c r="R88" s="2"/>
      <x:c r="S88" s="2"/>
      <x:c r="T88" s="2"/>
      <x:c r="U88" s="2"/>
      <x:c r="V88" s="2"/>
    </x:row>
    <x:row r="89">
      <x:c r="A89" s="2"/>
      <x:c r="B89" s="2"/>
      <x:c r="C89" s="2"/>
      <x:c r="D89" s="2"/>
      <x:c r="E89" s="2"/>
      <x:c r="F89" s="2"/>
      <x:c r="G89" s="2"/>
      <x:c r="H89" s="2"/>
      <x:c r="I89" s="2"/>
      <x:c r="J89" s="2"/>
      <x:c r="K89" s="2"/>
      <x:c r="L89" s="2"/>
      <x:c r="M89" s="2"/>
      <x:c r="N89" s="2"/>
      <x:c r="O89" s="2"/>
      <x:c r="P89" s="2"/>
      <x:c r="Q89" s="2"/>
      <x:c r="R89" s="2"/>
      <x:c r="S89" s="2"/>
      <x:c r="T89" s="2"/>
      <x:c r="U89" s="2"/>
      <x:c r="V89" s="2"/>
    </x:row>
    <x:row r="90">
      <x:c r="A90" s="2"/>
      <x:c r="B90" s="2"/>
      <x:c r="C90" s="2"/>
      <x:c r="D90" s="2"/>
      <x:c r="E90" s="2"/>
      <x:c r="F90" s="2"/>
      <x:c r="G90" s="2"/>
      <x:c r="H90" s="2"/>
      <x:c r="I90" s="2"/>
      <x:c r="J90" s="2"/>
      <x:c r="K90" s="2"/>
      <x:c r="L90" s="2"/>
      <x:c r="M90" s="2"/>
      <x:c r="N90" s="2"/>
      <x:c r="O90" s="2"/>
      <x:c r="P90" s="2"/>
      <x:c r="Q90" s="2"/>
      <x:c r="R90" s="2"/>
      <x:c r="S90" s="2"/>
      <x:c r="T90" s="2"/>
      <x:c r="U90" s="2"/>
      <x:c r="V90" s="2"/>
    </x:row>
    <x:row r="91">
      <x:c r="A91" s="2"/>
      <x:c r="B91" s="2"/>
      <x:c r="C91" s="2"/>
      <x:c r="D91" s="2"/>
      <x:c r="E91" s="2"/>
      <x:c r="F91" s="2"/>
      <x:c r="G91" s="2"/>
      <x:c r="H91" s="2"/>
      <x:c r="I91" s="2"/>
      <x:c r="J91" s="2"/>
      <x:c r="K91" s="2"/>
      <x:c r="L91" s="2"/>
      <x:c r="M91" s="2"/>
      <x:c r="N91" s="2"/>
      <x:c r="O91" s="2"/>
      <x:c r="P91" s="2"/>
      <x:c r="Q91" s="2"/>
      <x:c r="R91" s="2"/>
      <x:c r="S91" s="2"/>
      <x:c r="T91" s="2"/>
      <x:c r="U91" s="2"/>
      <x:c r="V91" s="2"/>
    </x:row>
    <x:row r="92">
      <x:c r="A92" s="2"/>
      <x:c r="B92" s="2"/>
      <x:c r="C92" s="2"/>
      <x:c r="D92" s="2"/>
      <x:c r="E92" s="2"/>
      <x:c r="F92" s="2"/>
      <x:c r="G92" s="2"/>
      <x:c r="H92" s="2"/>
      <x:c r="I92" s="2"/>
      <x:c r="J92" s="2"/>
      <x:c r="K92" s="2"/>
      <x:c r="L92" s="2"/>
      <x:c r="M92" s="2"/>
      <x:c r="N92" s="2"/>
      <x:c r="O92" s="2"/>
      <x:c r="P92" s="2"/>
      <x:c r="Q92" s="2"/>
      <x:c r="R92" s="2"/>
      <x:c r="S92" s="2"/>
      <x:c r="T92" s="2"/>
      <x:c r="U92" s="2"/>
      <x:c r="V92" s="2"/>
    </x:row>
    <x:row r="93">
      <x:c r="A93" s="2"/>
      <x:c r="B93" s="2"/>
      <x:c r="C93" s="2"/>
      <x:c r="D93" s="2"/>
      <x:c r="E93" s="2"/>
      <x:c r="F93" s="2"/>
      <x:c r="G93" s="2"/>
      <x:c r="H93" s="2"/>
      <x:c r="I93" s="2"/>
      <x:c r="J93" s="2"/>
      <x:c r="K93" s="2"/>
      <x:c r="L93" s="2"/>
      <x:c r="M93" s="2"/>
      <x:c r="N93" s="2"/>
      <x:c r="O93" s="2"/>
      <x:c r="P93" s="2"/>
      <x:c r="Q93" s="2"/>
      <x:c r="R93" s="2"/>
      <x:c r="S93" s="2"/>
      <x:c r="T93" s="2"/>
      <x:c r="U93" s="2"/>
      <x:c r="V93" s="2"/>
    </x:row>
    <x:row r="94">
      <x:c r="A94" s="2"/>
      <x:c r="B94" s="2"/>
      <x:c r="C94" s="2"/>
      <x:c r="D94" s="2"/>
      <x:c r="E94" s="2"/>
      <x:c r="F94" s="2"/>
      <x:c r="G94" s="2"/>
      <x:c r="H94" s="2"/>
      <x:c r="I94" s="2"/>
      <x:c r="J94" s="2"/>
      <x:c r="K94" s="2"/>
      <x:c r="L94" s="2"/>
      <x:c r="M94" s="2"/>
      <x:c r="N94" s="2"/>
      <x:c r="O94" s="2"/>
      <x:c r="P94" s="2"/>
      <x:c r="Q94" s="2"/>
      <x:c r="R94" s="2"/>
      <x:c r="S94" s="2"/>
      <x:c r="T94" s="2"/>
      <x:c r="U94" s="2"/>
      <x:c r="V94" s="2"/>
    </x:row>
    <x:row r="95">
      <x:c r="A95" s="2"/>
      <x:c r="B95" s="2"/>
      <x:c r="C95" s="2"/>
      <x:c r="D95" s="2"/>
      <x:c r="E95" s="2"/>
      <x:c r="F95" s="2"/>
      <x:c r="G95" s="2"/>
      <x:c r="H95" s="2"/>
      <x:c r="I95" s="2"/>
      <x:c r="J95" s="2"/>
      <x:c r="K95" s="2"/>
      <x:c r="L95" s="2"/>
      <x:c r="M95" s="2"/>
      <x:c r="N95" s="2"/>
      <x:c r="O95" s="2"/>
      <x:c r="P95" s="2"/>
      <x:c r="Q95" s="2"/>
      <x:c r="R95" s="2"/>
      <x:c r="S95" s="2"/>
      <x:c r="T95" s="2"/>
      <x:c r="U95" s="2"/>
      <x:c r="V95" s="2"/>
    </x:row>
    <x:row r="96">
      <x:c r="A96" s="2"/>
      <x:c r="B96" s="2"/>
      <x:c r="C96" s="2"/>
      <x:c r="D96" s="2"/>
      <x:c r="E96" s="2"/>
      <x:c r="F96" s="2"/>
      <x:c r="G96" s="2"/>
      <x:c r="H96" s="2"/>
      <x:c r="I96" s="2"/>
      <x:c r="J96" s="2"/>
      <x:c r="K96" s="2"/>
      <x:c r="L96" s="2"/>
      <x:c r="M96" s="2"/>
      <x:c r="N96" s="2"/>
      <x:c r="O96" s="2"/>
      <x:c r="P96" s="2"/>
      <x:c r="Q96" s="2"/>
      <x:c r="R96" s="2"/>
      <x:c r="S96" s="2"/>
      <x:c r="T96" s="2"/>
      <x:c r="U96" s="2"/>
      <x:c r="V96" s="2"/>
    </x:row>
    <x:row r="97">
      <x:c r="A97" s="2"/>
      <x:c r="B97" s="2"/>
      <x:c r="C97" s="2"/>
      <x:c r="D97" s="2"/>
      <x:c r="E97" s="2"/>
      <x:c r="F97" s="2"/>
      <x:c r="G97" s="2"/>
      <x:c r="H97" s="2"/>
      <x:c r="I97" s="2"/>
      <x:c r="J97" s="2"/>
      <x:c r="K97" s="2"/>
      <x:c r="L97" s="2"/>
      <x:c r="M97" s="2"/>
      <x:c r="N97" s="2"/>
      <x:c r="O97" s="2"/>
      <x:c r="P97" s="2"/>
      <x:c r="Q97" s="2"/>
      <x:c r="R97" s="2"/>
      <x:c r="S97" s="2"/>
      <x:c r="T97" s="2"/>
      <x:c r="U97" s="2"/>
      <x:c r="V97" s="2"/>
    </x:row>
    <x:row r="98">
      <x:c r="A98" s="2"/>
      <x:c r="B98" s="2"/>
      <x:c r="C98" s="2"/>
      <x:c r="D98" s="2"/>
      <x:c r="E98" s="2"/>
      <x:c r="F98" s="2"/>
      <x:c r="G98" s="2"/>
      <x:c r="H98" s="2"/>
      <x:c r="I98" s="2"/>
      <x:c r="J98" s="2"/>
      <x:c r="K98" s="2"/>
      <x:c r="L98" s="2"/>
      <x:c r="M98" s="2"/>
      <x:c r="N98" s="2"/>
      <x:c r="O98" s="2"/>
      <x:c r="P98" s="2"/>
      <x:c r="Q98" s="2"/>
      <x:c r="R98" s="2"/>
      <x:c r="S98" s="2"/>
      <x:c r="T98" s="2"/>
      <x:c r="U98" s="2"/>
      <x:c r="V98" s="2"/>
    </x:row>
    <x:row r="99">
      <x:c r="A99" s="2"/>
      <x:c r="B99" s="2"/>
      <x:c r="C99" s="2"/>
      <x:c r="D99" s="2"/>
      <x:c r="E99" s="2"/>
      <x:c r="F99" s="2"/>
      <x:c r="G99" s="2"/>
      <x:c r="H99" s="2"/>
      <x:c r="I99" s="2"/>
      <x:c r="J99" s="2"/>
      <x:c r="K99" s="2"/>
      <x:c r="L99" s="2"/>
      <x:c r="M99" s="2"/>
      <x:c r="N99" s="2"/>
      <x:c r="O99" s="2"/>
      <x:c r="P99" s="2"/>
      <x:c r="Q99" s="2"/>
      <x:c r="R99" s="2"/>
      <x:c r="S99" s="2"/>
      <x:c r="T99" s="2"/>
      <x:c r="U99" s="2"/>
      <x:c r="V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mergeCells>
    <x:mergeCell ref="A18:J18"/>
    <x:mergeCell ref="A19:J19"/>
    <x:mergeCell ref="A20:J20"/>
    <x:mergeCell ref="A21:J21"/>
  </x:mergeCells>
  <x:conditionalFormatting sqref="I10:I14">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ySplit="5" topLeftCell="A6" activePane="bottomLeft" state="frozen"/>
    </x:sheetView>
  </x:sheetViews>
  <x:sheetFormatPr defaultRowHeight="15"/>
  <x:cols>
    <x:col min="1" max="1" width="12" hidden="0" customWidth="1"/>
    <x:col min="2" max="2" width="28" hidden="0" customWidth="1"/>
    <x:col min="3" max="3" width="18" hidden="0" customWidth="1"/>
    <x:col min="4" max="4" width="15" hidden="0" customWidth="1"/>
    <x:col min="5" max="5" width="22" hidden="0" customWidth="1"/>
    <x:col min="6" max="6" width="54" hidden="0" customWidth="1"/>
    <x:col min="7" max="7" width="36"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参数与来源</x:v>
      </x:c>
      <x:c r="B2" s="2"/>
      <x:c r="C2" s="2"/>
      <x:c r="D2" s="2"/>
      <x:c r="E2" s="2"/>
      <x:c r="F2" s="2"/>
      <x:c r="G2" s="2"/>
      <x:c r="H2" s="2"/>
      <x:c r="I2" s="2"/>
      <x:c r="J2" s="2"/>
      <x:c r="K2" s="2"/>
      <x:c r="L2" s="2"/>
      <x:c r="M2" s="2"/>
      <x:c r="N2" s="2"/>
      <x:c r="O2" s="2"/>
      <x:c r="P2" s="2"/>
      <x:c r="Q2" s="2"/>
      <x:c r="R2" s="2"/>
      <x:c r="S2" s="2"/>
      <x:c r="T2" s="2"/>
      <x:c r="U2" s="2"/>
      <x:c r="V2" s="2"/>
    </x:row>
    <x:row r="3">
      <x:c r="A3" s="5" t="str">
        <x:v>黄色参数为统一情景输入。每条补充资料保留日期和链接。</x:v>
      </x:c>
      <x:c r="B3" s="4"/>
      <x:c r="C3" s="4"/>
      <x:c r="D3" s="4"/>
      <x:c r="E3" s="4"/>
      <x:c r="F3" s="4"/>
      <x:c r="G3" s="4"/>
      <x:c r="H3" s="2"/>
      <x:c r="I3" s="2"/>
      <x:c r="J3" s="2"/>
      <x:c r="K3" s="2"/>
      <x:c r="L3" s="2"/>
      <x:c r="M3" s="2"/>
      <x:c r="N3" s="2"/>
      <x:c r="O3" s="2"/>
      <x:c r="P3" s="2"/>
      <x:c r="Q3" s="2"/>
      <x:c r="R3" s="2"/>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x:c r="A5" s="14" t="str">
        <x:v>参数ID</x:v>
      </x:c>
      <x:c r="B5" s="15" t="str">
        <x:v>参数</x:v>
      </x:c>
      <x:c r="C5" s="15" t="str">
        <x:v>取值</x:v>
      </x:c>
      <x:c r="D5" s="15" t="str">
        <x:v>单位</x:v>
      </x:c>
      <x:c r="E5" s="15" t="str">
        <x:v>状态</x:v>
      </x:c>
      <x:c r="F5" s="15" t="str">
        <x:v>说明</x:v>
      </x:c>
      <x:c r="G5" s="16" t="str">
        <x:v>来源</x:v>
      </x:c>
      <x:c r="H5" s="2"/>
      <x:c r="I5" s="2"/>
      <x:c r="J5" s="2"/>
      <x:c r="K5" s="2"/>
      <x:c r="L5" s="2"/>
      <x:c r="M5" s="2"/>
      <x:c r="N5" s="2"/>
      <x:c r="O5" s="2"/>
      <x:c r="P5" s="2"/>
      <x:c r="Q5" s="2"/>
      <x:c r="R5" s="2"/>
      <x:c r="S5" s="2"/>
      <x:c r="T5" s="2"/>
      <x:c r="U5" s="2"/>
      <x:c r="V5" s="2"/>
    </x:row>
    <x:row r="6" ht="34" customHeight="1">
      <x:c r="A6" s="2" t="str">
        <x:v>P01</x:v>
      </x:c>
      <x:c r="B6" s="2" t="str">
        <x:v>户均日派件强度</x:v>
      </x:c>
      <x:c r="C6" s="41" t="n">
        <x:v>0.6</x:v>
      </x:c>
      <x:c r="D6" s="2" t="str">
        <x:v>件/户·日</x:v>
      </x:c>
      <x:c r="E6" s="2" t="str">
        <x:v>统一情景参数</x:v>
      </x:c>
      <x:c r="F6" s="2" t="str">
        <x:v>所有需求节点日均件量=户数×本参数</x:v>
      </x:c>
      <x:c r="G6" s="2" t="str">
        <x:v>原始标准表口径；国家邮政局/北京业务量估算</x:v>
      </x:c>
      <x:c r="H6" s="2"/>
      <x:c r="I6" s="2"/>
      <x:c r="J6" s="2"/>
      <x:c r="K6" s="2"/>
      <x:c r="L6" s="2"/>
      <x:c r="M6" s="2"/>
      <x:c r="N6" s="2"/>
      <x:c r="O6" s="2"/>
      <x:c r="P6" s="2"/>
      <x:c r="Q6" s="2"/>
      <x:c r="R6" s="2"/>
      <x:c r="S6" s="2"/>
      <x:c r="T6" s="2"/>
      <x:c r="U6" s="2"/>
      <x:c r="V6" s="2"/>
    </x:row>
    <x:row r="7" ht="34" customHeight="1">
      <x:c r="A7" s="2" t="str">
        <x:v>P02</x:v>
      </x:c>
      <x:c r="B7" s="2" t="str">
        <x:v>高峰系数</x:v>
      </x:c>
      <x:c r="C7" s="41" t="n">
        <x:v>2</x:v>
      </x:c>
      <x:c r="D7" s="2" t="str">
        <x:v>倍</x:v>
      </x:c>
      <x:c r="E7" s="2" t="str">
        <x:v>统一情景参数</x:v>
      </x:c>
      <x:c r="F7" s="2" t="str">
        <x:v>峰值件量=日均件量×本参数</x:v>
      </x:c>
      <x:c r="G7" s="2" t="str">
        <x:v>行业情景假设</x:v>
      </x:c>
      <x:c r="H7" s="2"/>
      <x:c r="I7" s="2"/>
      <x:c r="J7" s="2"/>
      <x:c r="K7" s="2"/>
      <x:c r="L7" s="2"/>
      <x:c r="M7" s="2"/>
      <x:c r="N7" s="2"/>
      <x:c r="O7" s="2"/>
      <x:c r="P7" s="2"/>
      <x:c r="Q7" s="2"/>
      <x:c r="R7" s="2"/>
      <x:c r="S7" s="2"/>
      <x:c r="T7" s="2"/>
      <x:c r="U7" s="2"/>
      <x:c r="V7" s="2"/>
    </x:row>
    <x:row r="8" ht="34" customHeight="1">
      <x:c r="A8" s="2" t="str">
        <x:v>P03</x:v>
      </x:c>
      <x:c r="B8" s="2" t="str">
        <x:v>内部道路基准速度</x:v>
      </x:c>
      <x:c r="C8" s="41" t="n">
        <x:v>1.5</x:v>
      </x:c>
      <x:c r="D8" s="2" t="str">
        <x:v>m/s</x:v>
      </x:c>
      <x:c r="E8" s="2" t="str">
        <x:v>统一情景参数</x:v>
      </x:c>
      <x:c r="F8" s="2" t="str">
        <x:v>OSM未标速度的内部道路基准值</x:v>
      </x:c>
      <x:c r="G8" s="2" t="str">
        <x:v>原始标准表口径</x:v>
      </x:c>
      <x:c r="H8" s="2"/>
      <x:c r="I8" s="2"/>
      <x:c r="J8" s="2"/>
      <x:c r="K8" s="2"/>
      <x:c r="L8" s="2"/>
      <x:c r="M8" s="2"/>
      <x:c r="N8" s="2"/>
      <x:c r="O8" s="2"/>
      <x:c r="P8" s="2"/>
      <x:c r="Q8" s="2"/>
      <x:c r="R8" s="2"/>
      <x:c r="S8" s="2"/>
      <x:c r="T8" s="2"/>
      <x:c r="U8" s="2"/>
      <x:c r="V8" s="2"/>
    </x:row>
    <x:row r="9" ht="34" customHeight="1">
      <x:c r="A9" s="2" t="str">
        <x:v>P04</x:v>
      </x:c>
      <x:c r="B9" s="2" t="str">
        <x:v>建筑连接段速度</x:v>
      </x:c>
      <x:c r="C9" s="41" t="n">
        <x:v>1</x:v>
      </x:c>
      <x:c r="D9" s="2" t="str">
        <x:v>m/s</x:v>
      </x:c>
      <x:c r="E9" s="2" t="str">
        <x:v>统一情景参数</x:v>
      </x:c>
      <x:c r="F9" s="2" t="str">
        <x:v>楼前步道和停车干扰下的保守速度</x:v>
      </x:c>
      <x:c r="G9" s="2" t="str">
        <x:v>情景假设</x:v>
      </x:c>
      <x:c r="H9" s="2"/>
      <x:c r="I9" s="2"/>
      <x:c r="J9" s="2"/>
      <x:c r="K9" s="2"/>
      <x:c r="L9" s="2"/>
      <x:c r="M9" s="2"/>
      <x:c r="N9" s="2"/>
      <x:c r="O9" s="2"/>
      <x:c r="P9" s="2"/>
      <x:c r="Q9" s="2"/>
      <x:c r="R9" s="2"/>
      <x:c r="S9" s="2"/>
      <x:c r="T9" s="2"/>
      <x:c r="U9" s="2"/>
      <x:c r="V9" s="2"/>
    </x:row>
    <x:row r="10" ht="34" customHeight="1">
      <x:c r="A10" s="2" t="str">
        <x:v>P05</x:v>
      </x:c>
      <x:c r="B10" s="2" t="str">
        <x:v>标准智能柜容量</x:v>
      </x:c>
      <x:c r="C10" s="41" t="n">
        <x:v>104</x:v>
      </x:c>
      <x:c r="D10" s="2" t="str">
        <x:v>格</x:v>
      </x:c>
      <x:c r="E10" s="2" t="str">
        <x:v>统一情景参数</x:v>
      </x:c>
      <x:c r="F10" s="2" t="str">
        <x:v>1主柜+4副柜的模型情景容量</x:v>
      </x:c>
      <x:c r="G10" s="2" t="str">
        <x:v>原始参数包</x:v>
      </x:c>
      <x:c r="H10" s="2"/>
      <x:c r="I10" s="2"/>
      <x:c r="J10" s="2"/>
      <x:c r="K10" s="2"/>
      <x:c r="L10" s="2"/>
      <x:c r="M10" s="2"/>
      <x:c r="N10" s="2"/>
      <x:c r="O10" s="2"/>
      <x:c r="P10" s="2"/>
      <x:c r="Q10" s="2"/>
      <x:c r="R10" s="2"/>
      <x:c r="S10" s="2"/>
      <x:c r="T10" s="2"/>
      <x:c r="U10" s="2"/>
      <x:c r="V10" s="2"/>
    </x:row>
    <x:row r="11">
      <x:c r="A11" s="2"/>
      <x:c r="B11" s="2"/>
      <x:c r="C11" s="2"/>
      <x:c r="D11" s="2"/>
      <x:c r="E11" s="2"/>
      <x:c r="F11" s="2"/>
      <x:c r="G11" s="2"/>
      <x:c r="H11" s="2"/>
      <x:c r="I11" s="2"/>
      <x:c r="J11" s="2"/>
      <x:c r="K11" s="2"/>
      <x:c r="L11" s="2"/>
      <x:c r="M11" s="2"/>
      <x:c r="N11" s="2"/>
      <x:c r="O11" s="2"/>
      <x:c r="P11" s="2"/>
      <x:c r="Q11" s="2"/>
      <x:c r="R11" s="2"/>
      <x:c r="S11" s="2"/>
      <x:c r="T11" s="2"/>
      <x:c r="U11" s="2"/>
      <x:c r="V11" s="2"/>
    </x:row>
    <x:row r="12">
      <x:c r="A12" s="2"/>
      <x:c r="B12" s="2"/>
      <x:c r="C12" s="2"/>
      <x:c r="D12" s="2"/>
      <x:c r="E12" s="2"/>
      <x:c r="F12" s="2"/>
      <x:c r="G12" s="2"/>
      <x:c r="H12" s="2"/>
      <x:c r="I12" s="2"/>
      <x:c r="J12" s="2"/>
      <x:c r="K12" s="2"/>
      <x:c r="L12" s="2"/>
      <x:c r="M12" s="2"/>
      <x:c r="N12" s="2"/>
      <x:c r="O12" s="2"/>
      <x:c r="P12" s="2"/>
      <x:c r="Q12" s="2"/>
      <x:c r="R12" s="2"/>
      <x:c r="S12" s="2"/>
      <x:c r="T12" s="2"/>
      <x:c r="U12" s="2"/>
      <x:c r="V12" s="2"/>
    </x:row>
    <x:row r="13">
      <x:c r="A13" s="2"/>
      <x:c r="B13" s="2"/>
      <x:c r="C13" s="2"/>
      <x:c r="D13" s="2"/>
      <x:c r="E13" s="2"/>
      <x:c r="F13" s="2"/>
      <x:c r="G13" s="2"/>
      <x:c r="H13" s="2"/>
      <x:c r="I13" s="2"/>
      <x:c r="J13" s="2"/>
      <x:c r="K13" s="2"/>
      <x:c r="L13" s="2"/>
      <x:c r="M13" s="2"/>
      <x:c r="N13" s="2"/>
      <x:c r="O13" s="2"/>
      <x:c r="P13" s="2"/>
      <x:c r="Q13" s="2"/>
      <x:c r="R13" s="2"/>
      <x:c r="S13" s="2"/>
      <x:c r="T13" s="2"/>
      <x:c r="U13" s="2"/>
      <x:c r="V13" s="2"/>
    </x:row>
    <x:row r="14">
      <x:c r="A14" s="14" t="str">
        <x:v>来源ID</x:v>
      </x:c>
      <x:c r="B14" s="15" t="str">
        <x:v>支持内容</x:v>
      </x:c>
      <x:c r="C14" s="15" t="str">
        <x:v>资料名称</x:v>
      </x:c>
      <x:c r="D14" s="15" t="str">
        <x:v>数据时间</x:v>
      </x:c>
      <x:c r="E14" s="16" t="str">
        <x:v>链接或文件名</x:v>
      </x:c>
      <x:c r="F14" s="2"/>
      <x:c r="G14" s="2"/>
      <x:c r="H14" s="2"/>
      <x:c r="I14" s="2"/>
      <x:c r="J14" s="2"/>
      <x:c r="K14" s="2"/>
      <x:c r="L14" s="2"/>
      <x:c r="M14" s="2"/>
      <x:c r="N14" s="2"/>
      <x:c r="O14" s="2"/>
      <x:c r="P14" s="2"/>
      <x:c r="Q14" s="2"/>
      <x:c r="R14" s="2"/>
      <x:c r="S14" s="2"/>
      <x:c r="T14" s="2"/>
      <x:c r="U14" s="2"/>
      <x:c r="V14" s="2"/>
    </x:row>
    <x:row r="15" ht="38" customHeight="1">
      <x:c r="A15" s="38" t="str">
        <x:v>RAW01</x:v>
      </x:c>
      <x:c r="B15" s="38" t="str">
        <x:v>梅园、鹿鸣苑原始社区表</x:v>
      </x:c>
      <x:c r="C15" s="38" t="str">
        <x:v>亦庄梅园小区与鹿鸣苑_社区数据收集表.xlsx</x:v>
      </x:c>
      <x:c r="D15" s="38" t="str">
        <x:v>2026-09-15</x:v>
      </x:c>
      <x:c r="E15" s="43" t="str">
        <x:v>原始文件</x:v>
      </x:c>
      <x:c r="F15" s="2"/>
      <x:c r="G15" s="2"/>
      <x:c r="H15" s="2"/>
      <x:c r="I15" s="2"/>
      <x:c r="J15" s="2"/>
      <x:c r="K15" s="2"/>
      <x:c r="L15" s="2"/>
      <x:c r="M15" s="2"/>
      <x:c r="N15" s="2"/>
      <x:c r="O15" s="2"/>
      <x:c r="P15" s="2"/>
      <x:c r="Q15" s="2"/>
      <x:c r="R15" s="2"/>
      <x:c r="S15" s="2"/>
      <x:c r="T15" s="2"/>
      <x:c r="U15" s="2"/>
      <x:c r="V15" s="2"/>
    </x:row>
    <x:row r="16" ht="38" customHeight="1">
      <x:c r="A16" s="38" t="str">
        <x:v>RAW02</x:v>
      </x:c>
      <x:c r="B16" s="38" t="str">
        <x:v>天华园二里一区原始社区表</x:v>
      </x:c>
      <x:c r="C16" s="38" t="str">
        <x:v>天华园二里一区_社区数据收集表.xlsx</x:v>
      </x:c>
      <x:c r="D16" s="38" t="str">
        <x:v>2026-09-15</x:v>
      </x:c>
      <x:c r="E16" s="43" t="str">
        <x:v>原始文件</x:v>
      </x:c>
      <x:c r="F16" s="2"/>
      <x:c r="G16" s="2"/>
      <x:c r="H16" s="2"/>
      <x:c r="I16" s="2"/>
      <x:c r="J16" s="2"/>
      <x:c r="K16" s="2"/>
      <x:c r="L16" s="2"/>
      <x:c r="M16" s="2"/>
      <x:c r="N16" s="2"/>
      <x:c r="O16" s="2"/>
      <x:c r="P16" s="2"/>
      <x:c r="Q16" s="2"/>
      <x:c r="R16" s="2"/>
      <x:c r="S16" s="2"/>
      <x:c r="T16" s="2"/>
      <x:c r="U16" s="2"/>
      <x:c r="V16" s="2"/>
    </x:row>
    <x:row r="17" ht="38" customHeight="1">
      <x:c r="A17" s="38" t="str">
        <x:v>RAW03</x:v>
      </x:c>
      <x:c r="B17" s="38" t="str">
        <x:v>听涛雅苑原始社区表</x:v>
      </x:c>
      <x:c r="C17" s="38" t="str">
        <x:v>听涛雅苑(1).xlsx</x:v>
      </x:c>
      <x:c r="D17" s="38" t="str">
        <x:v>2026-09-15</x:v>
      </x:c>
      <x:c r="E17" s="43" t="str">
        <x:v>原始文件</x:v>
      </x:c>
      <x:c r="F17" s="2"/>
      <x:c r="G17" s="2"/>
      <x:c r="H17" s="2"/>
      <x:c r="I17" s="2"/>
      <x:c r="J17" s="2"/>
      <x:c r="K17" s="2"/>
      <x:c r="L17" s="2"/>
      <x:c r="M17" s="2"/>
      <x:c r="N17" s="2"/>
      <x:c r="O17" s="2"/>
      <x:c r="P17" s="2"/>
      <x:c r="Q17" s="2"/>
      <x:c r="R17" s="2"/>
      <x:c r="S17" s="2"/>
      <x:c r="T17" s="2"/>
      <x:c r="U17" s="2"/>
      <x:c r="V17" s="2"/>
    </x:row>
    <x:row r="18" ht="38" customHeight="1">
      <x:c r="A18" s="38" t="str">
        <x:v>RAW04</x:v>
      </x:c>
      <x:c r="B18" s="38" t="str">
        <x:v>亦城茗苑原始社区表</x:v>
      </x:c>
      <x:c r="C18" s="38" t="str">
        <x:v>亦城茗苑.xls</x:v>
      </x:c>
      <x:c r="D18" s="38" t="str">
        <x:v>2026-09-14</x:v>
      </x:c>
      <x:c r="E18" s="43" t="str">
        <x:v>原始文件</x:v>
      </x:c>
      <x:c r="F18" s="2"/>
      <x:c r="G18" s="2"/>
      <x:c r="H18" s="2"/>
      <x:c r="I18" s="2"/>
      <x:c r="J18" s="2"/>
      <x:c r="K18" s="2"/>
      <x:c r="L18" s="2"/>
      <x:c r="M18" s="2"/>
      <x:c r="N18" s="2"/>
      <x:c r="O18" s="2"/>
      <x:c r="P18" s="2"/>
      <x:c r="Q18" s="2"/>
      <x:c r="R18" s="2"/>
      <x:c r="S18" s="2"/>
      <x:c r="T18" s="2"/>
      <x:c r="U18" s="2"/>
      <x:c r="V18" s="2"/>
    </x:row>
    <x:row r="19" ht="38" customHeight="1">
      <x:c r="A19" s="38" t="str">
        <x:v>WEB01</x:v>
      </x:c>
      <x:c r="B19" s="38" t="str">
        <x:v>鹿鸣苑户数、人口与老年人口</x:v>
      </x:c>
      <x:c r="C19" s="38" t="str">
        <x:v>经开区官方社区保障报道</x:v>
      </x:c>
      <x:c r="D19" s="38" t="str">
        <x:v>2022-03-01</x:v>
      </x:c>
      <x:c r="E19" s="43" t="str">
        <x:v>https://kfqgw.beijing.gov.cn/ywdt/tt/cxfw/202203/t20220301_4180185.html</x:v>
      </x:c>
      <x:c r="F19" s="2"/>
      <x:c r="G19" s="2"/>
      <x:c r="H19" s="2"/>
      <x:c r="I19" s="2"/>
      <x:c r="J19" s="2"/>
      <x:c r="K19" s="2"/>
      <x:c r="L19" s="2"/>
      <x:c r="M19" s="2"/>
      <x:c r="N19" s="2"/>
      <x:c r="O19" s="2"/>
      <x:c r="P19" s="2"/>
      <x:c r="Q19" s="2"/>
      <x:c r="R19" s="2"/>
      <x:c r="S19" s="2"/>
      <x:c r="T19" s="2"/>
      <x:c r="U19" s="2"/>
      <x:c r="V19" s="2"/>
    </x:row>
    <x:row r="20" ht="38" customHeight="1">
      <x:c r="A20" s="38" t="str">
        <x:v>WEB02</x:v>
      </x:c>
      <x:c r="B20" s="38" t="str">
        <x:v>亦城茗苑17栋住宅、2栋商业和6000余人</x:v>
      </x:c>
      <x:c r="C20" s="38" t="str">
        <x:v>亦城茗苑社区党支部报道</x:v>
      </x:c>
      <x:c r="D20" s="38" t="str">
        <x:v>2024-08-15</x:v>
      </x:c>
      <x:c r="E20" s="43" t="str">
        <x:v>https://kfqgw.beijing.gov.cn/zwgkkfq/ztzl/djgz/202408/t20240815_4384405.html</x:v>
      </x:c>
      <x:c r="F20" s="2"/>
      <x:c r="G20" s="2"/>
      <x:c r="H20" s="2"/>
      <x:c r="I20" s="2"/>
      <x:c r="J20" s="2"/>
      <x:c r="K20" s="2"/>
      <x:c r="L20" s="2"/>
      <x:c r="M20" s="2"/>
      <x:c r="N20" s="2"/>
      <x:c r="O20" s="2"/>
      <x:c r="P20" s="2"/>
      <x:c r="Q20" s="2"/>
      <x:c r="R20" s="2"/>
      <x:c r="S20" s="2"/>
      <x:c r="T20" s="2"/>
      <x:c r="U20" s="2"/>
      <x:c r="V20" s="2"/>
    </x:row>
    <x:row r="21" ht="38" customHeight="1">
      <x:c r="A21" s="38" t="str">
        <x:v>WEB03</x:v>
      </x:c>
      <x:c r="B21" s="38" t="str">
        <x:v>听涛雅苑东门和12组临时快递货架</x:v>
      </x:c>
      <x:c r="C21" s="38" t="str">
        <x:v>听涛雅苑封控保障报道</x:v>
      </x:c>
      <x:c r="D21" s="38" t="str">
        <x:v>2022-06-22</x:v>
      </x:c>
      <x:c r="E21" s="43" t="str">
        <x:v>https://kfqgw.beijing.gov.cn/zwgkkfq/ztzl/fkyqbjjkqzxdkfq/rdxwkfq/202206/t20220622_4228063.html</x:v>
      </x:c>
      <x:c r="F21" s="2"/>
      <x:c r="G21" s="2"/>
      <x:c r="H21" s="2"/>
      <x:c r="I21" s="2"/>
      <x:c r="J21" s="2"/>
      <x:c r="K21" s="2"/>
      <x:c r="L21" s="2"/>
      <x:c r="M21" s="2"/>
      <x:c r="N21" s="2"/>
      <x:c r="O21" s="2"/>
      <x:c r="P21" s="2"/>
      <x:c r="Q21" s="2"/>
      <x:c r="R21" s="2"/>
      <x:c r="S21" s="2"/>
      <x:c r="T21" s="2"/>
      <x:c r="U21" s="2"/>
      <x:c r="V21" s="2"/>
    </x:row>
    <x:row r="22" ht="38" customHeight="1">
      <x:c r="A22" s="38" t="str">
        <x:v>WEB04</x:v>
      </x:c>
      <x:c r="B22" s="38" t="str">
        <x:v>听涛雅苑59栋、1050户、面积和东西门</x:v>
      </x:c>
      <x:c r="C22" s="38" t="str">
        <x:v>房天下听涛雅苑详情</x:v>
      </x:c>
      <x:c r="D22" s="38" t="str">
        <x:v>2026-09检索</x:v>
      </x:c>
      <x:c r="E22" s="43" t="str">
        <x:v>https://esf.fang.com/loupan/1010302731/housedetail.htm</x:v>
      </x:c>
      <x:c r="F22" s="2"/>
      <x:c r="G22" s="2"/>
      <x:c r="H22" s="2"/>
      <x:c r="I22" s="2"/>
      <x:c r="J22" s="2"/>
      <x:c r="K22" s="2"/>
      <x:c r="L22" s="2"/>
      <x:c r="M22" s="2"/>
      <x:c r="N22" s="2"/>
      <x:c r="O22" s="2"/>
      <x:c r="P22" s="2"/>
      <x:c r="Q22" s="2"/>
      <x:c r="R22" s="2"/>
      <x:c r="S22" s="2"/>
      <x:c r="T22" s="2"/>
      <x:c r="U22" s="2"/>
      <x:c r="V22" s="2"/>
    </x:row>
    <x:row r="23" ht="38" customHeight="1">
      <x:c r="A23" s="38" t="str">
        <x:v>WEB05</x:v>
      </x:c>
      <x:c r="B23" s="38" t="str">
        <x:v>听涛雅苑1100㎡智慧康养机器人养老驿站</x:v>
      </x:c>
      <x:c r="C23" s="38" t="str">
        <x:v>经开区官方养老驿站报道</x:v>
      </x:c>
      <x:c r="D23" s="38" t="str">
        <x:v>2026-04-01</x:v>
      </x:c>
      <x:c r="E23" s="43" t="str">
        <x:v>https://kfqgw.beijing.gov.cn/ywdt/gsprcgd/lxyz/202604/t20260401_4572004.html</x:v>
      </x:c>
      <x:c r="F23" s="2"/>
      <x:c r="G23" s="2"/>
      <x:c r="H23" s="2"/>
      <x:c r="I23" s="2"/>
      <x:c r="J23" s="2"/>
      <x:c r="K23" s="2"/>
      <x:c r="L23" s="2"/>
      <x:c r="M23" s="2"/>
      <x:c r="N23" s="2"/>
      <x:c r="O23" s="2"/>
      <x:c r="P23" s="2"/>
      <x:c r="Q23" s="2"/>
      <x:c r="R23" s="2"/>
      <x:c r="S23" s="2"/>
      <x:c r="T23" s="2"/>
      <x:c r="U23" s="2"/>
      <x:c r="V23" s="2"/>
    </x:row>
    <x:row r="24" ht="38" customHeight="1">
      <x:c r="A24" s="38" t="str">
        <x:v>WEB06</x:v>
      </x:c>
      <x:c r="B24" s="38" t="str">
        <x:v>亦城茗苑电动自行车充电桩和电梯阻车系统</x:v>
      </x:c>
      <x:c r="C24" s="38" t="str">
        <x:v>北京日报北京号社区安全设施报道</x:v>
      </x:c>
      <x:c r="D24" s="38" t="str">
        <x:v>2021-10-09</x:v>
      </x:c>
      <x:c r="E24" s="43" t="str">
        <x:v>https://peking.bjd.com.cn/content/s61614c1de4b08aed9d826095.html</x:v>
      </x:c>
      <x:c r="F24" s="2"/>
      <x:c r="G24" s="2"/>
      <x:c r="H24" s="2"/>
      <x:c r="I24" s="2"/>
      <x:c r="J24" s="2"/>
      <x:c r="K24" s="2"/>
      <x:c r="L24" s="2"/>
      <x:c r="M24" s="2"/>
      <x:c r="N24" s="2"/>
      <x:c r="O24" s="2"/>
      <x:c r="P24" s="2"/>
      <x:c r="Q24" s="2"/>
      <x:c r="R24" s="2"/>
      <x:c r="S24" s="2"/>
      <x:c r="T24" s="2"/>
      <x:c r="U24" s="2"/>
      <x:c r="V24" s="2"/>
    </x:row>
    <x:row r="25" ht="38" customHeight="1">
      <x:c r="A25" s="38" t="str">
        <x:v>OSM01</x:v>
      </x:c>
      <x:c r="B25" s="38" t="str">
        <x:v>梅园边界和建筑道路</x:v>
      </x:c>
      <x:c r="C25" s="38" t="str">
        <x:v>OpenStreetMap way 234410618</x:v>
      </x:c>
      <x:c r="D25" s="38" t="str">
        <x:v>2026-09-15提取</x:v>
      </x:c>
      <x:c r="E25" s="43" t="str">
        <x:v>https://www.openstreetmap.org/way/234410618</x:v>
      </x:c>
      <x:c r="F25" s="2"/>
      <x:c r="G25" s="2"/>
      <x:c r="H25" s="2"/>
      <x:c r="I25" s="2"/>
      <x:c r="J25" s="2"/>
      <x:c r="K25" s="2"/>
      <x:c r="L25" s="2"/>
      <x:c r="M25" s="2"/>
      <x:c r="N25" s="2"/>
      <x:c r="O25" s="2"/>
      <x:c r="P25" s="2"/>
      <x:c r="Q25" s="2"/>
      <x:c r="R25" s="2"/>
      <x:c r="S25" s="2"/>
      <x:c r="T25" s="2"/>
      <x:c r="U25" s="2"/>
      <x:c r="V25" s="2"/>
    </x:row>
    <x:row r="26" ht="38" customHeight="1">
      <x:c r="A26" s="38" t="str">
        <x:v>OSM02</x:v>
      </x:c>
      <x:c r="B26" s="38" t="str">
        <x:v>鹿鸣苑边界和建筑道路</x:v>
      </x:c>
      <x:c r="C26" s="38" t="str">
        <x:v>OpenStreetMap way 238948534</x:v>
      </x:c>
      <x:c r="D26" s="38" t="str">
        <x:v>2026-09-15提取</x:v>
      </x:c>
      <x:c r="E26" s="43" t="str">
        <x:v>https://www.openstreetmap.org/way/238948534</x:v>
      </x:c>
      <x:c r="F26" s="2"/>
      <x:c r="G26" s="2"/>
      <x:c r="H26" s="2"/>
      <x:c r="I26" s="2"/>
      <x:c r="J26" s="2"/>
      <x:c r="K26" s="2"/>
      <x:c r="L26" s="2"/>
      <x:c r="M26" s="2"/>
      <x:c r="N26" s="2"/>
      <x:c r="O26" s="2"/>
      <x:c r="P26" s="2"/>
      <x:c r="Q26" s="2"/>
      <x:c r="R26" s="2"/>
      <x:c r="S26" s="2"/>
      <x:c r="T26" s="2"/>
      <x:c r="U26" s="2"/>
      <x:c r="V26" s="2"/>
    </x:row>
    <x:row r="27" ht="38" customHeight="1">
      <x:c r="A27" s="38" t="str">
        <x:v>OSM03</x:v>
      </x:c>
      <x:c r="B27" s="38" t="str">
        <x:v>亦城茗苑边界和建筑足迹</x:v>
      </x:c>
      <x:c r="C27" s="38" t="str">
        <x:v>OpenStreetMap way 234410624</x:v>
      </x:c>
      <x:c r="D27" s="38" t="str">
        <x:v>2026-09-15提取</x:v>
      </x:c>
      <x:c r="E27" s="43" t="str">
        <x:v>https://www.openstreetmap.org/way/234410624</x:v>
      </x:c>
      <x:c r="F27" s="2"/>
      <x:c r="G27" s="2"/>
      <x:c r="H27" s="2"/>
      <x:c r="I27" s="2"/>
      <x:c r="J27" s="2"/>
      <x:c r="K27" s="2"/>
      <x:c r="L27" s="2"/>
      <x:c r="M27" s="2"/>
      <x:c r="N27" s="2"/>
      <x:c r="O27" s="2"/>
      <x:c r="P27" s="2"/>
      <x:c r="Q27" s="2"/>
      <x:c r="R27" s="2"/>
      <x:c r="S27" s="2"/>
      <x:c r="T27" s="2"/>
      <x:c r="U27" s="2"/>
      <x:c r="V27" s="2"/>
    </x:row>
    <x:row r="28" ht="38" customHeight="1">
      <x:c r="A28" s="38" t="str">
        <x:v>OSM04</x:v>
      </x:c>
      <x:c r="B28" s="38" t="str">
        <x:v>听涛雅苑边界和建筑足迹</x:v>
      </x:c>
      <x:c r="C28" s="38" t="str">
        <x:v>OpenStreetMap way 234418243</x:v>
      </x:c>
      <x:c r="D28" s="38" t="str">
        <x:v>2026-09-15提取</x:v>
      </x:c>
      <x:c r="E28" s="43" t="str">
        <x:v>https://www.openstreetmap.org/way/234418243</x:v>
      </x:c>
      <x:c r="F28" s="2"/>
      <x:c r="G28" s="2"/>
      <x:c r="H28" s="2"/>
      <x:c r="I28" s="2"/>
      <x:c r="J28" s="2"/>
      <x:c r="K28" s="2"/>
      <x:c r="L28" s="2"/>
      <x:c r="M28" s="2"/>
      <x:c r="N28" s="2"/>
      <x:c r="O28" s="2"/>
      <x:c r="P28" s="2"/>
      <x:c r="Q28" s="2"/>
      <x:c r="R28" s="2"/>
      <x:c r="S28" s="2"/>
      <x:c r="T28" s="2"/>
      <x:c r="U28" s="2"/>
      <x:c r="V28" s="2"/>
    </x:row>
    <x:row r="29">
      <x:c r="A29" s="2"/>
      <x:c r="B29" s="2"/>
      <x:c r="C29" s="2"/>
      <x:c r="D29" s="2"/>
      <x:c r="E29" s="2"/>
      <x:c r="F29" s="2"/>
      <x:c r="G29" s="2"/>
      <x:c r="H29" s="2"/>
      <x:c r="I29" s="2"/>
      <x:c r="J29" s="2"/>
      <x:c r="K29" s="2"/>
      <x:c r="L29" s="2"/>
      <x:c r="M29" s="2"/>
      <x:c r="N29" s="2"/>
      <x:c r="O29" s="2"/>
      <x:c r="P29" s="2"/>
      <x:c r="Q29" s="2"/>
      <x:c r="R29" s="2"/>
      <x:c r="S29" s="2"/>
      <x:c r="T29" s="2"/>
      <x:c r="U29" s="2"/>
      <x:c r="V29" s="2"/>
    </x:row>
    <x:row r="30">
      <x:c r="A30" s="2"/>
      <x:c r="B30" s="2"/>
      <x:c r="C30" s="2"/>
      <x:c r="D30" s="2"/>
      <x:c r="E30" s="2"/>
      <x:c r="F30" s="2"/>
      <x:c r="G30" s="2"/>
      <x:c r="H30" s="2"/>
      <x:c r="I30" s="2"/>
      <x:c r="J30" s="2"/>
      <x:c r="K30" s="2"/>
      <x:c r="L30" s="2"/>
      <x:c r="M30" s="2"/>
      <x:c r="N30" s="2"/>
      <x:c r="O30" s="2"/>
      <x:c r="P30" s="2"/>
      <x:c r="Q30" s="2"/>
      <x:c r="R30" s="2"/>
      <x:c r="S30" s="2"/>
      <x:c r="T30" s="2"/>
      <x:c r="U30" s="2"/>
      <x:c r="V30" s="2"/>
    </x:row>
    <x:row r="31">
      <x:c r="A31" s="2"/>
      <x:c r="B31" s="2"/>
      <x:c r="C31" s="2"/>
      <x:c r="D31" s="2"/>
      <x:c r="E31" s="2"/>
      <x:c r="F31" s="2"/>
      <x:c r="G31" s="2"/>
      <x:c r="H31" s="2"/>
      <x:c r="I31" s="2"/>
      <x:c r="J31" s="2"/>
      <x:c r="K31" s="2"/>
      <x:c r="L31" s="2"/>
      <x:c r="M31" s="2"/>
      <x:c r="N31" s="2"/>
      <x:c r="O31" s="2"/>
      <x:c r="P31" s="2"/>
      <x:c r="Q31" s="2"/>
      <x:c r="R31" s="2"/>
      <x:c r="S31" s="2"/>
      <x:c r="T31" s="2"/>
      <x:c r="U31" s="2"/>
      <x:c r="V31" s="2"/>
    </x:row>
    <x:row r="32">
      <x:c r="A32" s="2"/>
      <x:c r="B32" s="2"/>
      <x:c r="C32" s="2"/>
      <x:c r="D32" s="2"/>
      <x:c r="E32" s="2"/>
      <x:c r="F32" s="2"/>
      <x:c r="G32" s="2"/>
      <x:c r="H32" s="2"/>
      <x:c r="I32" s="2"/>
      <x:c r="J32" s="2"/>
      <x:c r="K32" s="2"/>
      <x:c r="L32" s="2"/>
      <x:c r="M32" s="2"/>
      <x:c r="N32" s="2"/>
      <x:c r="O32" s="2"/>
      <x:c r="P32" s="2"/>
      <x:c r="Q32" s="2"/>
      <x:c r="R32" s="2"/>
      <x:c r="S32" s="2"/>
      <x:c r="T32" s="2"/>
      <x:c r="U32" s="2"/>
      <x:c r="V32" s="2"/>
    </x:row>
    <x:row r="33">
      <x:c r="A33" s="2"/>
      <x:c r="B33" s="2"/>
      <x:c r="C33" s="2"/>
      <x:c r="D33" s="2"/>
      <x:c r="E33" s="2"/>
      <x:c r="F33" s="2"/>
      <x:c r="G33" s="2"/>
      <x:c r="H33" s="2"/>
      <x:c r="I33" s="2"/>
      <x:c r="J33" s="2"/>
      <x:c r="K33" s="2"/>
      <x:c r="L33" s="2"/>
      <x:c r="M33" s="2"/>
      <x:c r="N33" s="2"/>
      <x:c r="O33" s="2"/>
      <x:c r="P33" s="2"/>
      <x:c r="Q33" s="2"/>
      <x:c r="R33" s="2"/>
      <x:c r="S33" s="2"/>
      <x:c r="T33" s="2"/>
      <x:c r="U33" s="2"/>
      <x:c r="V33" s="2"/>
    </x:row>
    <x:row r="34">
      <x:c r="A34" s="2"/>
      <x:c r="B34" s="2"/>
      <x:c r="C34" s="2"/>
      <x:c r="D34" s="2"/>
      <x:c r="E34" s="2"/>
      <x:c r="F34" s="2"/>
      <x:c r="G34" s="2"/>
      <x:c r="H34" s="2"/>
      <x:c r="I34" s="2"/>
      <x:c r="J34" s="2"/>
      <x:c r="K34" s="2"/>
      <x:c r="L34" s="2"/>
      <x:c r="M34" s="2"/>
      <x:c r="N34" s="2"/>
      <x:c r="O34" s="2"/>
      <x:c r="P34" s="2"/>
      <x:c r="Q34" s="2"/>
      <x:c r="R34" s="2"/>
      <x:c r="S34" s="2"/>
      <x:c r="T34" s="2"/>
      <x:c r="U34" s="2"/>
      <x:c r="V34" s="2"/>
    </x:row>
    <x:row r="35">
      <x:c r="A35" s="2"/>
      <x:c r="B35" s="2"/>
      <x:c r="C35" s="2"/>
      <x:c r="D35" s="2"/>
      <x:c r="E35" s="2"/>
      <x:c r="F35" s="2"/>
      <x:c r="G35" s="2"/>
      <x:c r="H35" s="2"/>
      <x:c r="I35" s="2"/>
      <x:c r="J35" s="2"/>
      <x:c r="K35" s="2"/>
      <x:c r="L35" s="2"/>
      <x:c r="M35" s="2"/>
      <x:c r="N35" s="2"/>
      <x:c r="O35" s="2"/>
      <x:c r="P35" s="2"/>
      <x:c r="Q35" s="2"/>
      <x:c r="R35" s="2"/>
      <x:c r="S35" s="2"/>
      <x:c r="T35" s="2"/>
      <x:c r="U35" s="2"/>
      <x:c r="V35" s="2"/>
    </x:row>
    <x:row r="36">
      <x:c r="A36" s="2"/>
      <x:c r="B36" s="2"/>
      <x:c r="C36" s="2"/>
      <x:c r="D36" s="2"/>
      <x:c r="E36" s="2"/>
      <x:c r="F36" s="2"/>
      <x:c r="G36" s="2"/>
      <x:c r="H36" s="2"/>
      <x:c r="I36" s="2"/>
      <x:c r="J36" s="2"/>
      <x:c r="K36" s="2"/>
      <x:c r="L36" s="2"/>
      <x:c r="M36" s="2"/>
      <x:c r="N36" s="2"/>
      <x:c r="O36" s="2"/>
      <x:c r="P36" s="2"/>
      <x:c r="Q36" s="2"/>
      <x:c r="R36" s="2"/>
      <x:c r="S36" s="2"/>
      <x:c r="T36" s="2"/>
      <x:c r="U36" s="2"/>
      <x:c r="V36" s="2"/>
    </x:row>
    <x:row r="37">
      <x:c r="A37" s="2"/>
      <x:c r="B37" s="2"/>
      <x:c r="C37" s="2"/>
      <x:c r="D37" s="2"/>
      <x:c r="E37" s="2"/>
      <x:c r="F37" s="2"/>
      <x:c r="G37" s="2"/>
      <x:c r="H37" s="2"/>
      <x:c r="I37" s="2"/>
      <x:c r="J37" s="2"/>
      <x:c r="K37" s="2"/>
      <x:c r="L37" s="2"/>
      <x:c r="M37" s="2"/>
      <x:c r="N37" s="2"/>
      <x:c r="O37" s="2"/>
      <x:c r="P37" s="2"/>
      <x:c r="Q37" s="2"/>
      <x:c r="R37" s="2"/>
      <x:c r="S37" s="2"/>
      <x:c r="T37" s="2"/>
      <x:c r="U37" s="2"/>
      <x:c r="V37" s="2"/>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row r="66">
      <x:c r="A66" s="2"/>
      <x:c r="B66" s="2"/>
      <x:c r="C66" s="2"/>
      <x:c r="D66" s="2"/>
      <x:c r="E66" s="2"/>
      <x:c r="F66" s="2"/>
      <x:c r="G66" s="2"/>
      <x:c r="H66" s="2"/>
      <x:c r="I66" s="2"/>
      <x:c r="J66" s="2"/>
      <x:c r="K66" s="2"/>
      <x:c r="L66" s="2"/>
      <x:c r="M66" s="2"/>
      <x:c r="N66" s="2"/>
      <x:c r="O66" s="2"/>
      <x:c r="P66" s="2"/>
      <x:c r="Q66" s="2"/>
      <x:c r="R66" s="2"/>
      <x:c r="S66" s="2"/>
      <x:c r="T66" s="2"/>
      <x:c r="U66" s="2"/>
      <x:c r="V66" s="2"/>
    </x:row>
    <x:row r="67">
      <x:c r="A67" s="2"/>
      <x:c r="B67" s="2"/>
      <x:c r="C67" s="2"/>
      <x:c r="D67" s="2"/>
      <x:c r="E67" s="2"/>
      <x:c r="F67" s="2"/>
      <x:c r="G67" s="2"/>
      <x:c r="H67" s="2"/>
      <x:c r="I67" s="2"/>
      <x:c r="J67" s="2"/>
      <x:c r="K67" s="2"/>
      <x:c r="L67" s="2"/>
      <x:c r="M67" s="2"/>
      <x:c r="N67" s="2"/>
      <x:c r="O67" s="2"/>
      <x:c r="P67" s="2"/>
      <x:c r="Q67" s="2"/>
      <x:c r="R67" s="2"/>
      <x:c r="S67" s="2"/>
      <x:c r="T67" s="2"/>
      <x:c r="U67" s="2"/>
      <x:c r="V67" s="2"/>
    </x:row>
    <x:row r="68">
      <x:c r="A68" s="2"/>
      <x:c r="B68" s="2"/>
      <x:c r="C68" s="2"/>
      <x:c r="D68" s="2"/>
      <x:c r="E68" s="2"/>
      <x:c r="F68" s="2"/>
      <x:c r="G68" s="2"/>
      <x:c r="H68" s="2"/>
      <x:c r="I68" s="2"/>
      <x:c r="J68" s="2"/>
      <x:c r="K68" s="2"/>
      <x:c r="L68" s="2"/>
      <x:c r="M68" s="2"/>
      <x:c r="N68" s="2"/>
      <x:c r="O68" s="2"/>
      <x:c r="P68" s="2"/>
      <x:c r="Q68" s="2"/>
      <x:c r="R68" s="2"/>
      <x:c r="S68" s="2"/>
      <x:c r="T68" s="2"/>
      <x:c r="U68" s="2"/>
      <x:c r="V68" s="2"/>
    </x:row>
    <x:row r="69">
      <x:c r="A69" s="2"/>
      <x:c r="B69" s="2"/>
      <x:c r="C69" s="2"/>
      <x:c r="D69" s="2"/>
      <x:c r="E69" s="2"/>
      <x:c r="F69" s="2"/>
      <x:c r="G69" s="2"/>
      <x:c r="H69" s="2"/>
      <x:c r="I69" s="2"/>
      <x:c r="J69" s="2"/>
      <x:c r="K69" s="2"/>
      <x:c r="L69" s="2"/>
      <x:c r="M69" s="2"/>
      <x:c r="N69" s="2"/>
      <x:c r="O69" s="2"/>
      <x:c r="P69" s="2"/>
      <x:c r="Q69" s="2"/>
      <x:c r="R69" s="2"/>
      <x:c r="S69" s="2"/>
      <x:c r="T69" s="2"/>
      <x:c r="U69" s="2"/>
      <x:c r="V69" s="2"/>
    </x:row>
    <x:row r="70">
      <x:c r="A70" s="2"/>
      <x:c r="B70" s="2"/>
      <x:c r="C70" s="2"/>
      <x:c r="D70" s="2"/>
      <x:c r="E70" s="2"/>
      <x:c r="F70" s="2"/>
      <x:c r="G70" s="2"/>
      <x:c r="H70" s="2"/>
      <x:c r="I70" s="2"/>
      <x:c r="J70" s="2"/>
      <x:c r="K70" s="2"/>
      <x:c r="L70" s="2"/>
      <x:c r="M70" s="2"/>
      <x:c r="N70" s="2"/>
      <x:c r="O70" s="2"/>
      <x:c r="P70" s="2"/>
      <x:c r="Q70" s="2"/>
      <x:c r="R70" s="2"/>
      <x:c r="S70" s="2"/>
      <x:c r="T70" s="2"/>
      <x:c r="U70" s="2"/>
      <x:c r="V70" s="2"/>
    </x:row>
    <x:row r="71">
      <x:c r="A71" s="2"/>
      <x:c r="B71" s="2"/>
      <x:c r="C71" s="2"/>
      <x:c r="D71" s="2"/>
      <x:c r="E71" s="2"/>
      <x:c r="F71" s="2"/>
      <x:c r="G71" s="2"/>
      <x:c r="H71" s="2"/>
      <x:c r="I71" s="2"/>
      <x:c r="J71" s="2"/>
      <x:c r="K71" s="2"/>
      <x:c r="L71" s="2"/>
      <x:c r="M71" s="2"/>
      <x:c r="N71" s="2"/>
      <x:c r="O71" s="2"/>
      <x:c r="P71" s="2"/>
      <x:c r="Q71" s="2"/>
      <x:c r="R71" s="2"/>
      <x:c r="S71" s="2"/>
      <x:c r="T71" s="2"/>
      <x:c r="U71" s="2"/>
      <x:c r="V71" s="2"/>
    </x:row>
    <x:row r="72">
      <x:c r="A72" s="2"/>
      <x:c r="B72" s="2"/>
      <x:c r="C72" s="2"/>
      <x:c r="D72" s="2"/>
      <x:c r="E72" s="2"/>
      <x:c r="F72" s="2"/>
      <x:c r="G72" s="2"/>
      <x:c r="H72" s="2"/>
      <x:c r="I72" s="2"/>
      <x:c r="J72" s="2"/>
      <x:c r="K72" s="2"/>
      <x:c r="L72" s="2"/>
      <x:c r="M72" s="2"/>
      <x:c r="N72" s="2"/>
      <x:c r="O72" s="2"/>
      <x:c r="P72" s="2"/>
      <x:c r="Q72" s="2"/>
      <x:c r="R72" s="2"/>
      <x:c r="S72" s="2"/>
      <x:c r="T72" s="2"/>
      <x:c r="U72" s="2"/>
      <x:c r="V72" s="2"/>
    </x:row>
    <x:row r="73">
      <x:c r="A73" s="2"/>
      <x:c r="B73" s="2"/>
      <x:c r="C73" s="2"/>
      <x:c r="D73" s="2"/>
      <x:c r="E73" s="2"/>
      <x:c r="F73" s="2"/>
      <x:c r="G73" s="2"/>
      <x:c r="H73" s="2"/>
      <x:c r="I73" s="2"/>
      <x:c r="J73" s="2"/>
      <x:c r="K73" s="2"/>
      <x:c r="L73" s="2"/>
      <x:c r="M73" s="2"/>
      <x:c r="N73" s="2"/>
      <x:c r="O73" s="2"/>
      <x:c r="P73" s="2"/>
      <x:c r="Q73" s="2"/>
      <x:c r="R73" s="2"/>
      <x:c r="S73" s="2"/>
      <x:c r="T73" s="2"/>
      <x:c r="U73" s="2"/>
      <x:c r="V73" s="2"/>
    </x:row>
    <x:row r="74">
      <x:c r="A74" s="2"/>
      <x:c r="B74" s="2"/>
      <x:c r="C74" s="2"/>
      <x:c r="D74" s="2"/>
      <x:c r="E74" s="2"/>
      <x:c r="F74" s="2"/>
      <x:c r="G74" s="2"/>
      <x:c r="H74" s="2"/>
      <x:c r="I74" s="2"/>
      <x:c r="J74" s="2"/>
      <x:c r="K74" s="2"/>
      <x:c r="L74" s="2"/>
      <x:c r="M74" s="2"/>
      <x:c r="N74" s="2"/>
      <x:c r="O74" s="2"/>
      <x:c r="P74" s="2"/>
      <x:c r="Q74" s="2"/>
      <x:c r="R74" s="2"/>
      <x:c r="S74" s="2"/>
      <x:c r="T74" s="2"/>
      <x:c r="U74" s="2"/>
      <x:c r="V74" s="2"/>
    </x:row>
    <x:row r="75">
      <x:c r="A75" s="2"/>
      <x:c r="B75" s="2"/>
      <x:c r="C75" s="2"/>
      <x:c r="D75" s="2"/>
      <x:c r="E75" s="2"/>
      <x:c r="F75" s="2"/>
      <x:c r="G75" s="2"/>
      <x:c r="H75" s="2"/>
      <x:c r="I75" s="2"/>
      <x:c r="J75" s="2"/>
      <x:c r="K75" s="2"/>
      <x:c r="L75" s="2"/>
      <x:c r="M75" s="2"/>
      <x:c r="N75" s="2"/>
      <x:c r="O75" s="2"/>
      <x:c r="P75" s="2"/>
      <x:c r="Q75" s="2"/>
      <x:c r="R75" s="2"/>
      <x:c r="S75" s="2"/>
      <x:c r="T75" s="2"/>
      <x:c r="U75" s="2"/>
      <x:c r="V75" s="2"/>
    </x:row>
    <x:row r="76">
      <x:c r="A76" s="2"/>
      <x:c r="B76" s="2"/>
      <x:c r="C76" s="2"/>
      <x:c r="D76" s="2"/>
      <x:c r="E76" s="2"/>
      <x:c r="F76" s="2"/>
      <x:c r="G76" s="2"/>
      <x:c r="H76" s="2"/>
      <x:c r="I76" s="2"/>
      <x:c r="J76" s="2"/>
      <x:c r="K76" s="2"/>
      <x:c r="L76" s="2"/>
      <x:c r="M76" s="2"/>
      <x:c r="N76" s="2"/>
      <x:c r="O76" s="2"/>
      <x:c r="P76" s="2"/>
      <x:c r="Q76" s="2"/>
      <x:c r="R76" s="2"/>
      <x:c r="S76" s="2"/>
      <x:c r="T76" s="2"/>
      <x:c r="U76" s="2"/>
      <x:c r="V76" s="2"/>
    </x:row>
    <x:row r="77">
      <x:c r="A77" s="2"/>
      <x:c r="B77" s="2"/>
      <x:c r="C77" s="2"/>
      <x:c r="D77" s="2"/>
      <x:c r="E77" s="2"/>
      <x:c r="F77" s="2"/>
      <x:c r="G77" s="2"/>
      <x:c r="H77" s="2"/>
      <x:c r="I77" s="2"/>
      <x:c r="J77" s="2"/>
      <x:c r="K77" s="2"/>
      <x:c r="L77" s="2"/>
      <x:c r="M77" s="2"/>
      <x:c r="N77" s="2"/>
      <x:c r="O77" s="2"/>
      <x:c r="P77" s="2"/>
      <x:c r="Q77" s="2"/>
      <x:c r="R77" s="2"/>
      <x:c r="S77" s="2"/>
      <x:c r="T77" s="2"/>
      <x:c r="U77" s="2"/>
      <x:c r="V77" s="2"/>
    </x:row>
    <x:row r="78">
      <x:c r="A78" s="2"/>
      <x:c r="B78" s="2"/>
      <x:c r="C78" s="2"/>
      <x:c r="D78" s="2"/>
      <x:c r="E78" s="2"/>
      <x:c r="F78" s="2"/>
      <x:c r="G78" s="2"/>
      <x:c r="H78" s="2"/>
      <x:c r="I78" s="2"/>
      <x:c r="J78" s="2"/>
      <x:c r="K78" s="2"/>
      <x:c r="L78" s="2"/>
      <x:c r="M78" s="2"/>
      <x:c r="N78" s="2"/>
      <x:c r="O78" s="2"/>
      <x:c r="P78" s="2"/>
      <x:c r="Q78" s="2"/>
      <x:c r="R78" s="2"/>
      <x:c r="S78" s="2"/>
      <x:c r="T78" s="2"/>
      <x:c r="U78" s="2"/>
      <x:c r="V78" s="2"/>
    </x:row>
    <x:row r="79">
      <x:c r="A79" s="2"/>
      <x:c r="B79" s="2"/>
      <x:c r="C79" s="2"/>
      <x:c r="D79" s="2"/>
      <x:c r="E79" s="2"/>
      <x:c r="F79" s="2"/>
      <x:c r="G79" s="2"/>
      <x:c r="H79" s="2"/>
      <x:c r="I79" s="2"/>
      <x:c r="J79" s="2"/>
      <x:c r="K79" s="2"/>
      <x:c r="L79" s="2"/>
      <x:c r="M79" s="2"/>
      <x:c r="N79" s="2"/>
      <x:c r="O79" s="2"/>
      <x:c r="P79" s="2"/>
      <x:c r="Q79" s="2"/>
      <x:c r="R79" s="2"/>
      <x:c r="S79" s="2"/>
      <x:c r="T79" s="2"/>
      <x:c r="U79" s="2"/>
      <x:c r="V79" s="2"/>
    </x:row>
    <x:row r="80">
      <x:c r="A80" s="2"/>
      <x:c r="B80" s="2"/>
      <x:c r="C80" s="2"/>
      <x:c r="D80" s="2"/>
      <x:c r="E80" s="2"/>
      <x:c r="F80" s="2"/>
      <x:c r="G80" s="2"/>
      <x:c r="H80" s="2"/>
      <x:c r="I80" s="2"/>
      <x:c r="J80" s="2"/>
      <x:c r="K80" s="2"/>
      <x:c r="L80" s="2"/>
      <x:c r="M80" s="2"/>
      <x:c r="N80" s="2"/>
      <x:c r="O80" s="2"/>
      <x:c r="P80" s="2"/>
      <x:c r="Q80" s="2"/>
      <x:c r="R80" s="2"/>
      <x:c r="S80" s="2"/>
      <x:c r="T80" s="2"/>
      <x:c r="U80" s="2"/>
      <x:c r="V80" s="2"/>
    </x:row>
    <x:row r="81">
      <x:c r="A81" s="2"/>
      <x:c r="B81" s="2"/>
      <x:c r="C81" s="2"/>
      <x:c r="D81" s="2"/>
      <x:c r="E81" s="2"/>
      <x:c r="F81" s="2"/>
      <x:c r="G81" s="2"/>
      <x:c r="H81" s="2"/>
      <x:c r="I81" s="2"/>
      <x:c r="J81" s="2"/>
      <x:c r="K81" s="2"/>
      <x:c r="L81" s="2"/>
      <x:c r="M81" s="2"/>
      <x:c r="N81" s="2"/>
      <x:c r="O81" s="2"/>
      <x:c r="P81" s="2"/>
      <x:c r="Q81" s="2"/>
      <x:c r="R81" s="2"/>
      <x:c r="S81" s="2"/>
      <x:c r="T81" s="2"/>
      <x:c r="U81" s="2"/>
      <x:c r="V81" s="2"/>
    </x:row>
    <x:row r="82">
      <x:c r="A82" s="2"/>
      <x:c r="B82" s="2"/>
      <x:c r="C82" s="2"/>
      <x:c r="D82" s="2"/>
      <x:c r="E82" s="2"/>
      <x:c r="F82" s="2"/>
      <x:c r="G82" s="2"/>
      <x:c r="H82" s="2"/>
      <x:c r="I82" s="2"/>
      <x:c r="J82" s="2"/>
      <x:c r="K82" s="2"/>
      <x:c r="L82" s="2"/>
      <x:c r="M82" s="2"/>
      <x:c r="N82" s="2"/>
      <x:c r="O82" s="2"/>
      <x:c r="P82" s="2"/>
      <x:c r="Q82" s="2"/>
      <x:c r="R82" s="2"/>
      <x:c r="S82" s="2"/>
      <x:c r="T82" s="2"/>
      <x:c r="U82" s="2"/>
      <x:c r="V82" s="2"/>
    </x:row>
    <x:row r="83">
      <x:c r="A83" s="2"/>
      <x:c r="B83" s="2"/>
      <x:c r="C83" s="2"/>
      <x:c r="D83" s="2"/>
      <x:c r="E83" s="2"/>
      <x:c r="F83" s="2"/>
      <x:c r="G83" s="2"/>
      <x:c r="H83" s="2"/>
      <x:c r="I83" s="2"/>
      <x:c r="J83" s="2"/>
      <x:c r="K83" s="2"/>
      <x:c r="L83" s="2"/>
      <x:c r="M83" s="2"/>
      <x:c r="N83" s="2"/>
      <x:c r="O83" s="2"/>
      <x:c r="P83" s="2"/>
      <x:c r="Q83" s="2"/>
      <x:c r="R83" s="2"/>
      <x:c r="S83" s="2"/>
      <x:c r="T83" s="2"/>
      <x:c r="U83" s="2"/>
      <x:c r="V83" s="2"/>
    </x:row>
    <x:row r="84">
      <x:c r="A84" s="2"/>
      <x:c r="B84" s="2"/>
      <x:c r="C84" s="2"/>
      <x:c r="D84" s="2"/>
      <x:c r="E84" s="2"/>
      <x:c r="F84" s="2"/>
      <x:c r="G84" s="2"/>
      <x:c r="H84" s="2"/>
      <x:c r="I84" s="2"/>
      <x:c r="J84" s="2"/>
      <x:c r="K84" s="2"/>
      <x:c r="L84" s="2"/>
      <x:c r="M84" s="2"/>
      <x:c r="N84" s="2"/>
      <x:c r="O84" s="2"/>
      <x:c r="P84" s="2"/>
      <x:c r="Q84" s="2"/>
      <x:c r="R84" s="2"/>
      <x:c r="S84" s="2"/>
      <x:c r="T84" s="2"/>
      <x:c r="U84" s="2"/>
      <x:c r="V84" s="2"/>
    </x:row>
    <x:row r="85">
      <x:c r="A85" s="2"/>
      <x:c r="B85" s="2"/>
      <x:c r="C85" s="2"/>
      <x:c r="D85" s="2"/>
      <x:c r="E85" s="2"/>
      <x:c r="F85" s="2"/>
      <x:c r="G85" s="2"/>
      <x:c r="H85" s="2"/>
      <x:c r="I85" s="2"/>
      <x:c r="J85" s="2"/>
      <x:c r="K85" s="2"/>
      <x:c r="L85" s="2"/>
      <x:c r="M85" s="2"/>
      <x:c r="N85" s="2"/>
      <x:c r="O85" s="2"/>
      <x:c r="P85" s="2"/>
      <x:c r="Q85" s="2"/>
      <x:c r="R85" s="2"/>
      <x:c r="S85" s="2"/>
      <x:c r="T85" s="2"/>
      <x:c r="U85" s="2"/>
      <x:c r="V85" s="2"/>
    </x:row>
    <x:row r="86">
      <x:c r="A86" s="2"/>
      <x:c r="B86" s="2"/>
      <x:c r="C86" s="2"/>
      <x:c r="D86" s="2"/>
      <x:c r="E86" s="2"/>
      <x:c r="F86" s="2"/>
      <x:c r="G86" s="2"/>
      <x:c r="H86" s="2"/>
      <x:c r="I86" s="2"/>
      <x:c r="J86" s="2"/>
      <x:c r="K86" s="2"/>
      <x:c r="L86" s="2"/>
      <x:c r="M86" s="2"/>
      <x:c r="N86" s="2"/>
      <x:c r="O86" s="2"/>
      <x:c r="P86" s="2"/>
      <x:c r="Q86" s="2"/>
      <x:c r="R86" s="2"/>
      <x:c r="S86" s="2"/>
      <x:c r="T86" s="2"/>
      <x:c r="U86" s="2"/>
      <x:c r="V86" s="2"/>
    </x:row>
    <x:row r="87">
      <x:c r="A87" s="2"/>
      <x:c r="B87" s="2"/>
      <x:c r="C87" s="2"/>
      <x:c r="D87" s="2"/>
      <x:c r="E87" s="2"/>
      <x:c r="F87" s="2"/>
      <x:c r="G87" s="2"/>
      <x:c r="H87" s="2"/>
      <x:c r="I87" s="2"/>
      <x:c r="J87" s="2"/>
      <x:c r="K87" s="2"/>
      <x:c r="L87" s="2"/>
      <x:c r="M87" s="2"/>
      <x:c r="N87" s="2"/>
      <x:c r="O87" s="2"/>
      <x:c r="P87" s="2"/>
      <x:c r="Q87" s="2"/>
      <x:c r="R87" s="2"/>
      <x:c r="S87" s="2"/>
      <x:c r="T87" s="2"/>
      <x:c r="U87" s="2"/>
      <x:c r="V87" s="2"/>
    </x:row>
    <x:row r="88">
      <x:c r="A88" s="2"/>
      <x:c r="B88" s="2"/>
      <x:c r="C88" s="2"/>
      <x:c r="D88" s="2"/>
      <x:c r="E88" s="2"/>
      <x:c r="F88" s="2"/>
      <x:c r="G88" s="2"/>
      <x:c r="H88" s="2"/>
      <x:c r="I88" s="2"/>
      <x:c r="J88" s="2"/>
      <x:c r="K88" s="2"/>
      <x:c r="L88" s="2"/>
      <x:c r="M88" s="2"/>
      <x:c r="N88" s="2"/>
      <x:c r="O88" s="2"/>
      <x:c r="P88" s="2"/>
      <x:c r="Q88" s="2"/>
      <x:c r="R88" s="2"/>
      <x:c r="S88" s="2"/>
      <x:c r="T88" s="2"/>
      <x:c r="U88" s="2"/>
      <x:c r="V88" s="2"/>
    </x:row>
    <x:row r="89">
      <x:c r="A89" s="2"/>
      <x:c r="B89" s="2"/>
      <x:c r="C89" s="2"/>
      <x:c r="D89" s="2"/>
      <x:c r="E89" s="2"/>
      <x:c r="F89" s="2"/>
      <x:c r="G89" s="2"/>
      <x:c r="H89" s="2"/>
      <x:c r="I89" s="2"/>
      <x:c r="J89" s="2"/>
      <x:c r="K89" s="2"/>
      <x:c r="L89" s="2"/>
      <x:c r="M89" s="2"/>
      <x:c r="N89" s="2"/>
      <x:c r="O89" s="2"/>
      <x:c r="P89" s="2"/>
      <x:c r="Q89" s="2"/>
      <x:c r="R89" s="2"/>
      <x:c r="S89" s="2"/>
      <x:c r="T89" s="2"/>
      <x:c r="U89" s="2"/>
      <x:c r="V89" s="2"/>
    </x:row>
    <x:row r="90">
      <x:c r="A90" s="2"/>
      <x:c r="B90" s="2"/>
      <x:c r="C90" s="2"/>
      <x:c r="D90" s="2"/>
      <x:c r="E90" s="2"/>
      <x:c r="F90" s="2"/>
      <x:c r="G90" s="2"/>
      <x:c r="H90" s="2"/>
      <x:c r="I90" s="2"/>
      <x:c r="J90" s="2"/>
      <x:c r="K90" s="2"/>
      <x:c r="L90" s="2"/>
      <x:c r="M90" s="2"/>
      <x:c r="N90" s="2"/>
      <x:c r="O90" s="2"/>
      <x:c r="P90" s="2"/>
      <x:c r="Q90" s="2"/>
      <x:c r="R90" s="2"/>
      <x:c r="S90" s="2"/>
      <x:c r="T90" s="2"/>
      <x:c r="U90" s="2"/>
      <x:c r="V90" s="2"/>
    </x:row>
    <x:row r="91">
      <x:c r="A91" s="2"/>
      <x:c r="B91" s="2"/>
      <x:c r="C91" s="2"/>
      <x:c r="D91" s="2"/>
      <x:c r="E91" s="2"/>
      <x:c r="F91" s="2"/>
      <x:c r="G91" s="2"/>
      <x:c r="H91" s="2"/>
      <x:c r="I91" s="2"/>
      <x:c r="J91" s="2"/>
      <x:c r="K91" s="2"/>
      <x:c r="L91" s="2"/>
      <x:c r="M91" s="2"/>
      <x:c r="N91" s="2"/>
      <x:c r="O91" s="2"/>
      <x:c r="P91" s="2"/>
      <x:c r="Q91" s="2"/>
      <x:c r="R91" s="2"/>
      <x:c r="S91" s="2"/>
      <x:c r="T91" s="2"/>
      <x:c r="U91" s="2"/>
      <x:c r="V91" s="2"/>
    </x:row>
    <x:row r="92">
      <x:c r="A92" s="2"/>
      <x:c r="B92" s="2"/>
      <x:c r="C92" s="2"/>
      <x:c r="D92" s="2"/>
      <x:c r="E92" s="2"/>
      <x:c r="F92" s="2"/>
      <x:c r="G92" s="2"/>
      <x:c r="H92" s="2"/>
      <x:c r="I92" s="2"/>
      <x:c r="J92" s="2"/>
      <x:c r="K92" s="2"/>
      <x:c r="L92" s="2"/>
      <x:c r="M92" s="2"/>
      <x:c r="N92" s="2"/>
      <x:c r="O92" s="2"/>
      <x:c r="P92" s="2"/>
      <x:c r="Q92" s="2"/>
      <x:c r="R92" s="2"/>
      <x:c r="S92" s="2"/>
      <x:c r="T92" s="2"/>
      <x:c r="U92" s="2"/>
      <x:c r="V92" s="2"/>
    </x:row>
    <x:row r="93">
      <x:c r="A93" s="2"/>
      <x:c r="B93" s="2"/>
      <x:c r="C93" s="2"/>
      <x:c r="D93" s="2"/>
      <x:c r="E93" s="2"/>
      <x:c r="F93" s="2"/>
      <x:c r="G93" s="2"/>
      <x:c r="H93" s="2"/>
      <x:c r="I93" s="2"/>
      <x:c r="J93" s="2"/>
      <x:c r="K93" s="2"/>
      <x:c r="L93" s="2"/>
      <x:c r="M93" s="2"/>
      <x:c r="N93" s="2"/>
      <x:c r="O93" s="2"/>
      <x:c r="P93" s="2"/>
      <x:c r="Q93" s="2"/>
      <x:c r="R93" s="2"/>
      <x:c r="S93" s="2"/>
      <x:c r="T93" s="2"/>
      <x:c r="U93" s="2"/>
      <x:c r="V93" s="2"/>
    </x:row>
    <x:row r="94">
      <x:c r="A94" s="2"/>
      <x:c r="B94" s="2"/>
      <x:c r="C94" s="2"/>
      <x:c r="D94" s="2"/>
      <x:c r="E94" s="2"/>
      <x:c r="F94" s="2"/>
      <x:c r="G94" s="2"/>
      <x:c r="H94" s="2"/>
      <x:c r="I94" s="2"/>
      <x:c r="J94" s="2"/>
      <x:c r="K94" s="2"/>
      <x:c r="L94" s="2"/>
      <x:c r="M94" s="2"/>
      <x:c r="N94" s="2"/>
      <x:c r="O94" s="2"/>
      <x:c r="P94" s="2"/>
      <x:c r="Q94" s="2"/>
      <x:c r="R94" s="2"/>
      <x:c r="S94" s="2"/>
      <x:c r="T94" s="2"/>
      <x:c r="U94" s="2"/>
      <x:c r="V94" s="2"/>
    </x:row>
    <x:row r="95">
      <x:c r="A95" s="2"/>
      <x:c r="B95" s="2"/>
      <x:c r="C95" s="2"/>
      <x:c r="D95" s="2"/>
      <x:c r="E95" s="2"/>
      <x:c r="F95" s="2"/>
      <x:c r="G95" s="2"/>
      <x:c r="H95" s="2"/>
      <x:c r="I95" s="2"/>
      <x:c r="J95" s="2"/>
      <x:c r="K95" s="2"/>
      <x:c r="L95" s="2"/>
      <x:c r="M95" s="2"/>
      <x:c r="N95" s="2"/>
      <x:c r="O95" s="2"/>
      <x:c r="P95" s="2"/>
      <x:c r="Q95" s="2"/>
      <x:c r="R95" s="2"/>
      <x:c r="S95" s="2"/>
      <x:c r="T95" s="2"/>
      <x:c r="U95" s="2"/>
      <x:c r="V95" s="2"/>
    </x:row>
    <x:row r="96">
      <x:c r="A96" s="2"/>
      <x:c r="B96" s="2"/>
      <x:c r="C96" s="2"/>
      <x:c r="D96" s="2"/>
      <x:c r="E96" s="2"/>
      <x:c r="F96" s="2"/>
      <x:c r="G96" s="2"/>
      <x:c r="H96" s="2"/>
      <x:c r="I96" s="2"/>
      <x:c r="J96" s="2"/>
      <x:c r="K96" s="2"/>
      <x:c r="L96" s="2"/>
      <x:c r="M96" s="2"/>
      <x:c r="N96" s="2"/>
      <x:c r="O96" s="2"/>
      <x:c r="P96" s="2"/>
      <x:c r="Q96" s="2"/>
      <x:c r="R96" s="2"/>
      <x:c r="S96" s="2"/>
      <x:c r="T96" s="2"/>
      <x:c r="U96" s="2"/>
      <x:c r="V96" s="2"/>
    </x:row>
    <x:row r="97">
      <x:c r="A97" s="2"/>
      <x:c r="B97" s="2"/>
      <x:c r="C97" s="2"/>
      <x:c r="D97" s="2"/>
      <x:c r="E97" s="2"/>
      <x:c r="F97" s="2"/>
      <x:c r="G97" s="2"/>
      <x:c r="H97" s="2"/>
      <x:c r="I97" s="2"/>
      <x:c r="J97" s="2"/>
      <x:c r="K97" s="2"/>
      <x:c r="L97" s="2"/>
      <x:c r="M97" s="2"/>
      <x:c r="N97" s="2"/>
      <x:c r="O97" s="2"/>
      <x:c r="P97" s="2"/>
      <x:c r="Q97" s="2"/>
      <x:c r="R97" s="2"/>
      <x:c r="S97" s="2"/>
      <x:c r="T97" s="2"/>
      <x:c r="U97" s="2"/>
      <x:c r="V97" s="2"/>
    </x:row>
    <x:row r="98">
      <x:c r="A98" s="2"/>
      <x:c r="B98" s="2"/>
      <x:c r="C98" s="2"/>
      <x:c r="D98" s="2"/>
      <x:c r="E98" s="2"/>
      <x:c r="F98" s="2"/>
      <x:c r="G98" s="2"/>
      <x:c r="H98" s="2"/>
      <x:c r="I98" s="2"/>
      <x:c r="J98" s="2"/>
      <x:c r="K98" s="2"/>
      <x:c r="L98" s="2"/>
      <x:c r="M98" s="2"/>
      <x:c r="N98" s="2"/>
      <x:c r="O98" s="2"/>
      <x:c r="P98" s="2"/>
      <x:c r="Q98" s="2"/>
      <x:c r="R98" s="2"/>
      <x:c r="S98" s="2"/>
      <x:c r="T98" s="2"/>
      <x:c r="U98" s="2"/>
      <x:c r="V98" s="2"/>
    </x:row>
    <x:row r="99">
      <x:c r="A99" s="2"/>
      <x:c r="B99" s="2"/>
      <x:c r="C99" s="2"/>
      <x:c r="D99" s="2"/>
      <x:c r="E99" s="2"/>
      <x:c r="F99" s="2"/>
      <x:c r="G99" s="2"/>
      <x:c r="H99" s="2"/>
      <x:c r="I99" s="2"/>
      <x:c r="J99" s="2"/>
      <x:c r="K99" s="2"/>
      <x:c r="L99" s="2"/>
      <x:c r="M99" s="2"/>
      <x:c r="N99" s="2"/>
      <x:c r="O99" s="2"/>
      <x:c r="P99" s="2"/>
      <x:c r="Q99" s="2"/>
      <x:c r="R99" s="2"/>
      <x:c r="S99" s="2"/>
      <x:c r="T99" s="2"/>
      <x:c r="U99" s="2"/>
      <x:c r="V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pageMargins left="0.7" right="0.7" top="0.75" bottom="0.75" header="0.3" footer="0.3"/>
  <x:tableParts count="2">
    <x:tablePart xmlns:r="http://schemas.openxmlformats.org/officeDocument/2006/relationships" r:id="Recfd0b0f22ca4797"/>
    <x:tablePart xmlns:r="http://schemas.openxmlformats.org/officeDocument/2006/relationships" r:id="Ree2b2bffe3164451"/>
  </x:tableParts>
</x:worksheet>
</file>

<file path=xl/worksheets/sheet3.xml><?xml version="1.0" encoding="utf-8"?>
<x:worksheet xmlns:x="http://schemas.openxmlformats.org/spreadsheetml/2006/main">
  <x:sheetPr>
    <x:tabColor rgb="FF5B9BD5"/>
  </x:sheetPr>
  <x:sheetViews>
    <x:sheetView showGridLines="0" workbookViewId="0">
      <x:pane xSplit="2" ySplit="5" topLeftCell="C6" activePane="bottomRight" state="frozen"/>
    </x:sheetView>
  </x:sheetViews>
  <x:sheetFormatPr defaultRowHeight="15"/>
  <x:cols>
    <x:col min="1" max="1" width="12" hidden="0" customWidth="1"/>
    <x:col min="2" max="2" width="16" hidden="0" customWidth="1"/>
    <x:col min="3" max="3" width="28" hidden="0" customWidth="1"/>
    <x:col min="4" max="4" width="34" hidden="0" customWidth="1"/>
    <x:col min="5" max="5" width="48" hidden="0" customWidth="1"/>
    <x:col min="6" max="6" width="14" hidden="0" customWidth="1"/>
    <x:col min="7" max="7" width="14" hidden="0" customWidth="1"/>
    <x:col min="8" max="8" width="11" hidden="0" customWidth="1"/>
    <x:col min="9" max="9" width="11" hidden="0" customWidth="1"/>
    <x:col min="10" max="10" width="12" hidden="0" customWidth="1"/>
    <x:col min="11" max="11" width="16" hidden="0" customWidth="1"/>
    <x:col min="12" max="12" width="12" hidden="0" customWidth="1"/>
    <x:col min="13" max="13" width="12" hidden="0" customWidth="1"/>
    <x:col min="14" max="14" width="32" hidden="0" customWidth="1"/>
    <x:col min="15" max="15" width="20" hidden="0" customWidth="1"/>
    <x:col min="16" max="16" width="20" hidden="0" customWidth="1"/>
    <x:col min="17" max="17" width="28" hidden="0" customWidth="1"/>
    <x:col min="18" max="18" width="18" hidden="0" customWidth="1"/>
    <x:col min="19" max="19" width="48" hidden="0" customWidth="1"/>
    <x:col min="20" max="20" width="44"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社区基本信息</x:v>
      </x:c>
      <x:c r="B2" s="2"/>
      <x:c r="C2" s="2"/>
      <x:c r="D2" s="2"/>
      <x:c r="E2" s="2"/>
      <x:c r="F2" s="2"/>
      <x:c r="G2" s="2"/>
      <x:c r="H2" s="2"/>
      <x:c r="I2" s="2"/>
      <x:c r="J2" s="2"/>
      <x:c r="K2" s="2"/>
      <x:c r="L2" s="2"/>
      <x:c r="M2" s="2"/>
      <x:c r="N2" s="2"/>
      <x:c r="O2" s="2"/>
      <x:c r="P2" s="2"/>
      <x:c r="Q2" s="2"/>
      <x:c r="R2" s="2"/>
      <x:c r="S2" s="2"/>
      <x:c r="T2" s="2"/>
      <x:c r="U2" s="2"/>
      <x:c r="V2" s="2"/>
    </x:row>
    <x:row r="3">
      <x:c r="A3" s="5" t="str">
        <x:v>总户数与模型需求户数分开保存。模型需求户数对应需求节点户数合计。</x:v>
      </x:c>
      <x:c r="B3" s="4"/>
      <x:c r="C3" s="4"/>
      <x:c r="D3" s="4"/>
      <x:c r="E3" s="4"/>
      <x:c r="F3" s="4"/>
      <x:c r="G3" s="4"/>
      <x:c r="H3" s="4"/>
      <x:c r="I3" s="4"/>
      <x:c r="J3" s="4"/>
      <x:c r="K3" s="4"/>
      <x:c r="L3" s="4"/>
      <x:c r="M3" s="4"/>
      <x:c r="N3" s="4"/>
      <x:c r="O3" s="4"/>
      <x:c r="P3" s="4"/>
      <x:c r="Q3" s="4"/>
      <x:c r="R3" s="4"/>
      <x:c r="S3" s="4"/>
      <x:c r="T3" s="4"/>
      <x:c r="U3" s="2"/>
      <x:c r="V3" s="2"/>
    </x:row>
    <x:row r="4">
      <x:c r="A4" s="2"/>
      <x:c r="B4" s="2"/>
      <x:c r="C4" s="2"/>
      <x:c r="D4" s="2"/>
      <x:c r="E4" s="2"/>
      <x:c r="F4" s="2"/>
      <x:c r="G4" s="2"/>
      <x:c r="H4" s="2"/>
      <x:c r="I4" s="2"/>
      <x:c r="J4" s="2"/>
      <x:c r="K4" s="2"/>
      <x:c r="L4" s="2"/>
      <x:c r="M4" s="2"/>
      <x:c r="N4" s="2"/>
      <x:c r="O4" s="2"/>
      <x:c r="P4" s="2"/>
      <x:c r="Q4" s="2"/>
      <x:c r="R4" s="2"/>
      <x:c r="S4" s="2"/>
      <x:c r="T4" s="2"/>
      <x:c r="U4" s="2"/>
      <x:c r="V4" s="2"/>
    </x:row>
    <x:row r="5">
      <x:c r="A5" s="14" t="str">
        <x:v>社区ID</x:v>
      </x:c>
      <x:c r="B5" s="15" t="str">
        <x:v>社区名称</x:v>
      </x:c>
      <x:c r="C5" s="15" t="str">
        <x:v>所属社区/街道</x:v>
      </x:c>
      <x:c r="D5" s="15" t="str">
        <x:v>地址</x:v>
      </x:c>
      <x:c r="E5" s="15" t="str">
        <x:v>边界坐标WKT（WGS84）</x:v>
      </x:c>
      <x:c r="F5" s="15" t="str">
        <x:v>占地面积㎡</x:v>
      </x:c>
      <x:c r="G5" s="15" t="str">
        <x:v>建筑面积㎡</x:v>
      </x:c>
      <x:c r="H5" s="15" t="str">
        <x:v>容积率</x:v>
      </x:c>
      <x:c r="I5" s="15" t="str">
        <x:v>楼栋数</x:v>
      </x:c>
      <x:c r="J5" s="15" t="str">
        <x:v>总户数</x:v>
      </x:c>
      <x:c r="K5" s="15" t="str">
        <x:v>模型需求户数</x:v>
      </x:c>
      <x:c r="L5" s="15" t="str">
        <x:v>常住人口</x:v>
      </x:c>
      <x:c r="M5" s="15" t="str">
        <x:v>老年人口</x:v>
      </x:c>
      <x:c r="N5" s="15" t="str">
        <x:v>建筑形态</x:v>
      </x:c>
      <x:c r="O5" s="15" t="str">
        <x:v>地形类型</x:v>
      </x:c>
      <x:c r="P5" s="15" t="str">
        <x:v>数据时间</x:v>
      </x:c>
      <x:c r="Q5" s="15" t="str">
        <x:v>数据状态</x:v>
      </x:c>
      <x:c r="R5" s="15" t="str">
        <x:v>可信度</x:v>
      </x:c>
      <x:c r="S5" s="15" t="str">
        <x:v>来源</x:v>
      </x:c>
      <x:c r="T5" s="16" t="str">
        <x:v>来源链接</x:v>
      </x:c>
      <x:c r="U5" s="2"/>
      <x:c r="V5" s="2"/>
    </x:row>
    <x:row r="6" ht="76" customHeight="1">
      <x:c r="A6" s="38" t="str">
        <x:v>C01</x:v>
      </x:c>
      <x:c r="B6" s="38" t="str">
        <x:v>梅园小区</x:v>
      </x:c>
      <x:c r="C6" s="38" t="str">
        <x:v>大兴区荣华街道 天华园一里社区</x:v>
      </x:c>
      <x:c r="D6" s="38" t="str">
        <x:v>北京经济技术开发区天华西路（天华园一里一区 1—4 号楼及配套楼）</x:v>
      </x:c>
      <x:c r="E6" s="38" t="str">
        <x:v>POLYGON((116.485123 39.799922, 116.484200 39.799486, 116.485040 39.798456, 116.485202 39.798434, 116.485962 39.798802, 116.485123 39.799922, 116.485123 39.799922))</x:v>
      </x:c>
      <x:c r="F6" s="45" t="n">
        <x:v>12939</x:v>
      </x:c>
      <x:c r="G6" s="45" t="n">
        <x:v>23806.01</x:v>
      </x:c>
      <x:c r="H6" s="45" t="n">
        <x:v>1.7</x:v>
      </x:c>
      <x:c r="I6" s="45" t="n">
        <x:v>5</x:v>
      </x:c>
      <x:c r="J6" s="45" t="n">
        <x:v>272</x:v>
      </x:c>
      <x:c r="K6" s="45" t="n">
        <x:v>272</x:v>
      </x:c>
      <x:c r="L6" s="45" t="n">
        <x:v>653</x:v>
      </x:c>
      <x:c r="M6" s="45" t="n">
        <x:v>170</x:v>
      </x:c>
      <x:c r="N6" s="38" t="str">
        <x:v>4栋板楼+1栋配套用房，无电梯</x:v>
      </x:c>
      <x:c r="O6" s="38" t="str">
        <x:v>平坦</x:v>
      </x:c>
      <x:c r="P6" s="38" t="str">
        <x:v>2026-09-15</x:v>
      </x:c>
      <x:c r="Q6" s="38" t="str">
        <x:v>官方资料+OSM+估算</x:v>
      </x:c>
      <x:c r="R6" s="38" t="str">
        <x:v>中高</x:v>
      </x:c>
      <x:c r="S6" s="38" t="str">
        <x:v>原始文件+北京市公共资源交易公告+OSM</x:v>
      </x:c>
      <x:c r="T6" s="43" t="str">
        <x:v>https://ggzyfw.beijing.gov.cn/jyxxggjtbyqs/20240930/4685132.html</x:v>
      </x:c>
      <x:c r="U6" s="2"/>
      <x:c r="V6" s="2"/>
    </x:row>
    <x:row r="7" ht="76" customHeight="1">
      <x:c r="A7" s="38" t="str">
        <x:v>C02</x:v>
      </x:c>
      <x:c r="B7" s="38" t="str">
        <x:v>鹿鸣苑</x:v>
      </x:c>
      <x:c r="C7" s="38" t="str">
        <x:v>大兴区荣华街道 天华园三里社区</x:v>
      </x:c>
      <x:c r="D7" s="38" t="str">
        <x:v>北京经济技术开发区天华北街2号院</x:v>
      </x:c>
      <x:c r="E7" s="38" t="str">
        <x:v>POLYGON((116.495652 39.799219, 116.494762 39.800297, 116.494633 39.800360, 116.493755 39.799959, 116.492555 39.799412, 116.492491 39.799127, 116.492666 39.798918, 116.492827 39.798631, 116.494628 39.796427, 116.494852 39.796391, 116.495451 39.796687, 116.495462 39.796797, 116.494747 39.797663, 116.494163 39.797764, 116.494085 39.798004, 116.494385 39.799087, 116.495100 39.798957, 116.495652 39.799219, 116.495652 39.799219))</x:v>
      </x:c>
      <x:c r="F7" s="45" t="n">
        <x:v>51729</x:v>
      </x:c>
      <x:c r="G7" s="45" t="n">
        <x:v>45004</x:v>
      </x:c>
      <x:c r="H7" s="45" t="n">
        <x:v>0.87</x:v>
      </x:c>
      <x:c r="I7" s="45" t="n">
        <x:v>50</x:v>
      </x:c>
      <x:c r="J7" s="45" t="n">
        <x:v>433</x:v>
      </x:c>
      <x:c r="K7" s="45" t="n">
        <x:v>433</x:v>
      </x:c>
      <x:c r="L7" s="45" t="n">
        <x:v>1183</x:v>
      </x:c>
      <x:c r="M7" s="45" t="n">
        <x:v>600</x:v>
      </x:c>
      <x:c r="N7" s="38" t="str">
        <x:v>3栋约15层塔楼+低层别墅住宅</x:v>
      </x:c>
      <x:c r="O7" s="38" t="str">
        <x:v>平坦</x:v>
      </x:c>
      <x:c r="P7" s="38" t="str">
        <x:v>2022-03 / 2026-09整理</x:v>
      </x:c>
      <x:c r="Q7" s="38" t="str">
        <x:v>官方资料+OSM+估算</x:v>
      </x:c>
      <x:c r="R7" s="38" t="str">
        <x:v>高（户数人口）/中（面积）</x:v>
      </x:c>
      <x:c r="S7" s="38" t="str">
        <x:v>经开区官方报道+OSM；原表650户被官方433户替换</x:v>
      </x:c>
      <x:c r="T7" s="43" t="str">
        <x:v>https://kfqgw.beijing.gov.cn/ywdt/tt/cxfw/202203/t20220301_4180185.html</x:v>
      </x:c>
      <x:c r="U7" s="2"/>
      <x:c r="V7" s="2"/>
    </x:row>
    <x:row r="8" ht="76" customHeight="1">
      <x:c r="A8" s="38" t="str">
        <x:v>C03</x:v>
      </x:c>
      <x:c r="B8" s="38" t="str">
        <x:v>天华园二里一区</x:v>
      </x:c>
      <x:c r="C8" s="38" t="str">
        <x:v>大兴区荣华街道 天华园二里社区</x:v>
      </x:c>
      <x:c r="D8" s="38" t="str">
        <x:v>北京经济技术开发区天华东路（天华园二里一区）</x:v>
      </x:c>
      <x:c r="E8" s="38" t="str">
        <x:v>POLYGON((116.492147 39.800993, 116.490812 39.802091, 116.490324 39.804666, 116.490763 39.805134, 116.493052 39.803459, 116.493539 39.803038, 116.493230 39.801712, 116.492147 39.800993))</x:v>
      </x:c>
      <x:c r="F8" s="45" t="n">
        <x:v>72943</x:v>
      </x:c>
      <x:c r="G8" s="45" t="n">
        <x:v>48872</x:v>
      </x:c>
      <x:c r="H8" s="45" t="n">
        <x:v>0.67</x:v>
      </x:c>
      <x:c r="I8" s="45" t="n">
        <x:v>11</x:v>
      </x:c>
      <x:c r="J8" s="45" t="n">
        <x:v>420</x:v>
      </x:c>
      <x:c r="K8" s="45" t="n">
        <x:v>420</x:v>
      </x:c>
      <x:c r="L8" s="45" t="n">
        <x:v>1008</x:v>
      </x:c>
      <x:c r="M8" s="45" t="n">
        <x:v>262</x:v>
      </x:c>
      <x:c r="N8" s="38" t="str">
        <x:v>10栋约6层板楼+1栋约18层塔楼（推定）</x:v>
      </x:c>
      <x:c r="O8" s="38" t="str">
        <x:v>平坦</x:v>
      </x:c>
      <x:c r="P8" s="38" t="str">
        <x:v>2026-09-15</x:v>
      </x:c>
      <x:c r="Q8" s="38" t="str">
        <x:v>第三方资料+OSM+估算</x:v>
      </x:c>
      <x:c r="R8" s="38" t="str">
        <x:v>中</x:v>
      </x:c>
      <x:c r="S8" s="38" t="str">
        <x:v>原始文件：天华园二里一区_社区数据收集表.xlsx</x:v>
      </x:c>
      <x:c r="T8" s="43" t="str"/>
      <x:c r="U8" s="2"/>
      <x:c r="V8" s="2"/>
    </x:row>
    <x:row r="9" ht="76" customHeight="1">
      <x:c r="A9" s="38" t="str">
        <x:v>C04</x:v>
      </x:c>
      <x:c r="B9" s="38" t="str">
        <x:v>亦城茗苑</x:v>
      </x:c>
      <x:c r="C9" s="38" t="str">
        <x:v>大兴区博兴街道 亦城茗苑社区</x:v>
      </x:c>
      <x:c r="D9" s="38" t="str">
        <x:v>北京经济技术开发区博兴六路泰河园五里</x:v>
      </x:c>
      <x:c r="E9" s="38" t="str">
        <x:v>POLYGON((116.5021752 39.7610907, 116.5030971 39.7632438, 116.5036026 39.7634032, 116.5063436 39.7626874, 116.5052917 39.7602950, 116.5026654 39.7609426, 116.5026433 39.7609850, 116.5021752 39.7610907))</x:v>
      </x:c>
      <x:c r="F9" s="45" t="n">
        <x:v>79300</x:v>
      </x:c>
      <x:c r="G9" s="45" t="n">
        <x:v>325500</x:v>
      </x:c>
      <x:c r="H9" s="45" t="n">
        <x:v>4.1</x:v>
      </x:c>
      <x:c r="I9" s="45" t="n">
        <x:v>19</x:v>
      </x:c>
      <x:c r="J9" s="45" t="n">
        <x:v>2353</x:v>
      </x:c>
      <x:c r="K9" s="45" t="n">
        <x:v>2141</x:v>
      </x:c>
      <x:c r="L9" s="45" t="n">
        <x:v>6000</x:v>
      </x:c>
      <x:c r="M9" s="45"/>
      <x:c r="N9" s="38" t="str">
        <x:v>17栋住宅楼+2栋商业楼，住宅以高层板楼为主</x:v>
      </x:c>
      <x:c r="O9" s="38" t="str">
        <x:v>平坦（待实测坡度）</x:v>
      </x:c>
      <x:c r="P9" s="38" t="str">
        <x:v>2024人口 / 2026-09整理</x:v>
      </x:c>
      <x:c r="Q9" s="38" t="str">
        <x:v>官方资料+第三方+OSM</x:v>
      </x:c>
      <x:c r="R9" s="38" t="str">
        <x:v>中高</x:v>
      </x:c>
      <x:c r="S9" s="38" t="str">
        <x:v>经开区官方+开发商项目页+原始文件+OSM way 234410624</x:v>
      </x:c>
      <x:c r="T9" s="43" t="str">
        <x:v>https://kfqgw.beijing.gov.cn/zwgkkfq/ztzl/djgz/202408/t20240815_4384405.html</x:v>
      </x:c>
      <x:c r="U9" s="2"/>
      <x:c r="V9" s="2"/>
    </x:row>
    <x:row r="10" ht="76" customHeight="1">
      <x:c r="A10" s="38" t="str">
        <x:v>C05</x:v>
      </x:c>
      <x:c r="B10" s="38" t="str">
        <x:v>听涛雅苑</x:v>
      </x:c>
      <x:c r="C10" s="38" t="str">
        <x:v>大兴区荣华街道 天华园一里社区</x:v>
      </x:c>
      <x:c r="D10" s="38" t="str">
        <x:v>北京经济技术开发区天华园一里二区</x:v>
      </x:c>
      <x:c r="E10" s="38" t="str">
        <x:v>POLYGON((116.4860750 39.7987156, 116.4850844 39.7982054, 116.4849822 39.7978729, 116.4846880 39.7977382, 116.4846511 39.7977870, 116.4844657 39.7977584, 116.4823603 39.7966962, 116.4833830 39.7953531, 116.4836412 39.7952166, 116.4838343 39.7951874, 116.4845214 39.7955139, 116.4846002 39.7955016, 116.4854930 39.7959252, 116.4855061 39.7959824, 116.4872835 39.7968394, 116.4873425 39.7970860, 116.4860750 39.7987156))</x:v>
      </x:c>
      <x:c r="F10" s="45" t="n">
        <x:v>128000</x:v>
      </x:c>
      <x:c r="G10" s="45" t="n">
        <x:v>115000</x:v>
      </x:c>
      <x:c r="H10" s="45" t="n">
        <x:v>0.9</x:v>
      </x:c>
      <x:c r="I10" s="45" t="n">
        <x:v>59</x:v>
      </x:c>
      <x:c r="J10" s="45" t="n">
        <x:v>1050</x:v>
      </x:c>
      <x:c r="K10" s="45" t="n">
        <x:v>1050</x:v>
      </x:c>
      <x:c r="L10" s="45" t="n">
        <x:v>2730</x:v>
      </x:c>
      <x:c r="M10" s="45" t="n">
        <x:v>683</x:v>
      </x:c>
      <x:c r="N10" s="38" t="str">
        <x:v>板塔结合，含高层住宅与别墅</x:v>
      </x:c>
      <x:c r="O10" s="38" t="str">
        <x:v>平坦</x:v>
      </x:c>
      <x:c r="P10" s="38" t="str">
        <x:v>2026-09-15</x:v>
      </x:c>
      <x:c r="Q10" s="38" t="str">
        <x:v>第三方资料+官方报道+OSM+估算</x:v>
      </x:c>
      <x:c r="R10" s="38" t="str">
        <x:v>中</x:v>
      </x:c>
      <x:c r="S10" s="38" t="str">
        <x:v>房天下+经开区官方+OSM way 234418243；原表1054户与公开1050户存在4户差异</x:v>
      </x:c>
      <x:c r="T10" s="43" t="str">
        <x:v>https://esf.fang.com/loupan/1010302731/housedetail.htm</x:v>
      </x:c>
      <x:c r="U10" s="2"/>
      <x:c r="V10" s="2"/>
    </x:row>
    <x:row r="11">
      <x:c r="A11" s="2"/>
      <x:c r="B11" s="2"/>
      <x:c r="C11" s="2"/>
      <x:c r="D11" s="2"/>
      <x:c r="E11" s="2"/>
      <x:c r="F11" s="2"/>
      <x:c r="G11" s="2"/>
      <x:c r="H11" s="2"/>
      <x:c r="I11" s="2"/>
      <x:c r="J11" s="2"/>
      <x:c r="K11" s="2"/>
      <x:c r="L11" s="2"/>
      <x:c r="M11" s="2"/>
      <x:c r="N11" s="2"/>
      <x:c r="O11" s="2"/>
      <x:c r="P11" s="2"/>
      <x:c r="Q11" s="2"/>
      <x:c r="R11" s="2"/>
      <x:c r="S11" s="2"/>
      <x:c r="T11" s="2"/>
      <x:c r="U11" s="2"/>
      <x:c r="V11" s="2"/>
    </x:row>
    <x:row r="12">
      <x:c r="A12" s="2"/>
      <x:c r="B12" s="2"/>
      <x:c r="C12" s="2"/>
      <x:c r="D12" s="2"/>
      <x:c r="E12" s="2"/>
      <x:c r="F12" s="2"/>
      <x:c r="G12" s="2"/>
      <x:c r="H12" s="2"/>
      <x:c r="I12" s="2"/>
      <x:c r="J12" s="2"/>
      <x:c r="K12" s="2"/>
      <x:c r="L12" s="2"/>
      <x:c r="M12" s="2"/>
      <x:c r="N12" s="2"/>
      <x:c r="O12" s="2"/>
      <x:c r="P12" s="2"/>
      <x:c r="Q12" s="2"/>
      <x:c r="R12" s="2"/>
      <x:c r="S12" s="2"/>
      <x:c r="T12" s="2"/>
      <x:c r="U12" s="2"/>
      <x:c r="V12" s="2"/>
    </x:row>
    <x:row r="13">
      <x:c r="A13" s="2"/>
      <x:c r="B13" s="2"/>
      <x:c r="C13" s="2"/>
      <x:c r="D13" s="2"/>
      <x:c r="E13" s="2"/>
      <x:c r="F13" s="2"/>
      <x:c r="G13" s="2"/>
      <x:c r="H13" s="2"/>
      <x:c r="I13" s="2"/>
      <x:c r="J13" s="2"/>
      <x:c r="K13" s="2"/>
      <x:c r="L13" s="2"/>
      <x:c r="M13" s="2"/>
      <x:c r="N13" s="2"/>
      <x:c r="O13" s="2"/>
      <x:c r="P13" s="2"/>
      <x:c r="Q13" s="2"/>
      <x:c r="R13" s="2"/>
      <x:c r="S13" s="2"/>
      <x:c r="T13" s="2"/>
      <x:c r="U13" s="2"/>
      <x:c r="V13" s="2"/>
    </x:row>
    <x:row r="14">
      <x:c r="A14" s="2"/>
      <x:c r="B14" s="2"/>
      <x:c r="C14" s="2"/>
      <x:c r="D14" s="2"/>
      <x:c r="E14" s="2"/>
      <x:c r="F14" s="2"/>
      <x:c r="G14" s="2"/>
      <x:c r="H14" s="2"/>
      <x:c r="I14" s="2"/>
      <x:c r="J14" s="2"/>
      <x:c r="K14" s="2"/>
      <x:c r="L14" s="2"/>
      <x:c r="M14" s="2"/>
      <x:c r="N14" s="2"/>
      <x:c r="O14" s="2"/>
      <x:c r="P14" s="2"/>
      <x:c r="Q14" s="2"/>
      <x:c r="R14" s="2"/>
      <x:c r="S14" s="2"/>
      <x:c r="T14" s="2"/>
      <x:c r="U14" s="2"/>
      <x:c r="V14" s="2"/>
    </x:row>
    <x:row r="15">
      <x:c r="A15" s="2"/>
      <x:c r="B15" s="2"/>
      <x:c r="C15" s="2"/>
      <x:c r="D15" s="2"/>
      <x:c r="E15" s="2"/>
      <x:c r="F15" s="2"/>
      <x:c r="G15" s="2"/>
      <x:c r="H15" s="2"/>
      <x:c r="I15" s="2"/>
      <x:c r="J15" s="2"/>
      <x:c r="K15" s="2"/>
      <x:c r="L15" s="2"/>
      <x:c r="M15" s="2"/>
      <x:c r="N15" s="2"/>
      <x:c r="O15" s="2"/>
      <x:c r="P15" s="2"/>
      <x:c r="Q15" s="2"/>
      <x:c r="R15" s="2"/>
      <x:c r="S15" s="2"/>
      <x:c r="T15" s="2"/>
      <x:c r="U15" s="2"/>
      <x:c r="V15" s="2"/>
    </x:row>
    <x:row r="16">
      <x:c r="A16" s="2"/>
      <x:c r="B16" s="2"/>
      <x:c r="C16" s="2"/>
      <x:c r="D16" s="2"/>
      <x:c r="E16" s="2"/>
      <x:c r="F16" s="2"/>
      <x:c r="G16" s="2"/>
      <x:c r="H16" s="2"/>
      <x:c r="I16" s="2"/>
      <x:c r="J16" s="2"/>
      <x:c r="K16" s="2"/>
      <x:c r="L16" s="2"/>
      <x:c r="M16" s="2"/>
      <x:c r="N16" s="2"/>
      <x:c r="O16" s="2"/>
      <x:c r="P16" s="2"/>
      <x:c r="Q16" s="2"/>
      <x:c r="R16" s="2"/>
      <x:c r="S16" s="2"/>
      <x:c r="T16" s="2"/>
      <x:c r="U16" s="2"/>
      <x:c r="V16" s="2"/>
    </x:row>
    <x:row r="17">
      <x:c r="A17" s="2"/>
      <x:c r="B17" s="2"/>
      <x:c r="C17" s="2"/>
      <x:c r="D17" s="2"/>
      <x:c r="E17" s="2"/>
      <x:c r="F17" s="2"/>
      <x:c r="G17" s="2"/>
      <x:c r="H17" s="2"/>
      <x:c r="I17" s="2"/>
      <x:c r="J17" s="2"/>
      <x:c r="K17" s="2"/>
      <x:c r="L17" s="2"/>
      <x:c r="M17" s="2"/>
      <x:c r="N17" s="2"/>
      <x:c r="O17" s="2"/>
      <x:c r="P17" s="2"/>
      <x:c r="Q17" s="2"/>
      <x:c r="R17" s="2"/>
      <x:c r="S17" s="2"/>
      <x:c r="T17" s="2"/>
      <x:c r="U17" s="2"/>
      <x:c r="V17" s="2"/>
    </x:row>
    <x:row r="18">
      <x:c r="A18" s="2"/>
      <x:c r="B18" s="2"/>
      <x:c r="C18" s="2"/>
      <x:c r="D18" s="2"/>
      <x:c r="E18" s="2"/>
      <x:c r="F18" s="2"/>
      <x:c r="G18" s="2"/>
      <x:c r="H18" s="2"/>
      <x:c r="I18" s="2"/>
      <x:c r="J18" s="2"/>
      <x:c r="K18" s="2"/>
      <x:c r="L18" s="2"/>
      <x:c r="M18" s="2"/>
      <x:c r="N18" s="2"/>
      <x:c r="O18" s="2"/>
      <x:c r="P18" s="2"/>
      <x:c r="Q18" s="2"/>
      <x:c r="R18" s="2"/>
      <x:c r="S18" s="2"/>
      <x:c r="T18" s="2"/>
      <x:c r="U18" s="2"/>
      <x:c r="V18" s="2"/>
    </x:row>
    <x:row r="19">
      <x:c r="A19" s="2"/>
      <x:c r="B19" s="2"/>
      <x:c r="C19" s="2"/>
      <x:c r="D19" s="2"/>
      <x:c r="E19" s="2"/>
      <x:c r="F19" s="2"/>
      <x:c r="G19" s="2"/>
      <x:c r="H19" s="2"/>
      <x:c r="I19" s="2"/>
      <x:c r="J19" s="2"/>
      <x:c r="K19" s="2"/>
      <x:c r="L19" s="2"/>
      <x:c r="M19" s="2"/>
      <x:c r="N19" s="2"/>
      <x:c r="O19" s="2"/>
      <x:c r="P19" s="2"/>
      <x:c r="Q19" s="2"/>
      <x:c r="R19" s="2"/>
      <x:c r="S19" s="2"/>
      <x:c r="T19" s="2"/>
      <x:c r="U19" s="2"/>
      <x:c r="V19" s="2"/>
    </x:row>
    <x:row r="20">
      <x:c r="A20" s="2"/>
      <x:c r="B20" s="2"/>
      <x:c r="C20" s="2"/>
      <x:c r="D20" s="2"/>
      <x:c r="E20" s="2"/>
      <x:c r="F20" s="2"/>
      <x:c r="G20" s="2"/>
      <x:c r="H20" s="2"/>
      <x:c r="I20" s="2"/>
      <x:c r="J20" s="2"/>
      <x:c r="K20" s="2"/>
      <x:c r="L20" s="2"/>
      <x:c r="M20" s="2"/>
      <x:c r="N20" s="2"/>
      <x:c r="O20" s="2"/>
      <x:c r="P20" s="2"/>
      <x:c r="Q20" s="2"/>
      <x:c r="R20" s="2"/>
      <x:c r="S20" s="2"/>
      <x:c r="T20" s="2"/>
      <x:c r="U20" s="2"/>
      <x:c r="V20" s="2"/>
    </x:row>
    <x:row r="21">
      <x:c r="A21" s="2"/>
      <x:c r="B21" s="2"/>
      <x:c r="C21" s="2"/>
      <x:c r="D21" s="2"/>
      <x:c r="E21" s="2"/>
      <x:c r="F21" s="2"/>
      <x:c r="G21" s="2"/>
      <x:c r="H21" s="2"/>
      <x:c r="I21" s="2"/>
      <x:c r="J21" s="2"/>
      <x:c r="K21" s="2"/>
      <x:c r="L21" s="2"/>
      <x:c r="M21" s="2"/>
      <x:c r="N21" s="2"/>
      <x:c r="O21" s="2"/>
      <x:c r="P21" s="2"/>
      <x:c r="Q21" s="2"/>
      <x:c r="R21" s="2"/>
      <x:c r="S21" s="2"/>
      <x:c r="T21" s="2"/>
      <x:c r="U21" s="2"/>
      <x:c r="V21" s="2"/>
    </x:row>
    <x:row r="22">
      <x:c r="A22" s="2"/>
      <x:c r="B22" s="2"/>
      <x:c r="C22" s="2"/>
      <x:c r="D22" s="2"/>
      <x:c r="E22" s="2"/>
      <x:c r="F22" s="2"/>
      <x:c r="G22" s="2"/>
      <x:c r="H22" s="2"/>
      <x:c r="I22" s="2"/>
      <x:c r="J22" s="2"/>
      <x:c r="K22" s="2"/>
      <x:c r="L22" s="2"/>
      <x:c r="M22" s="2"/>
      <x:c r="N22" s="2"/>
      <x:c r="O22" s="2"/>
      <x:c r="P22" s="2"/>
      <x:c r="Q22" s="2"/>
      <x:c r="R22" s="2"/>
      <x:c r="S22" s="2"/>
      <x:c r="T22" s="2"/>
      <x:c r="U22" s="2"/>
      <x:c r="V22" s="2"/>
    </x:row>
    <x:row r="23">
      <x:c r="A23" s="2"/>
      <x:c r="B23" s="2"/>
      <x:c r="C23" s="2"/>
      <x:c r="D23" s="2"/>
      <x:c r="E23" s="2"/>
      <x:c r="F23" s="2"/>
      <x:c r="G23" s="2"/>
      <x:c r="H23" s="2"/>
      <x:c r="I23" s="2"/>
      <x:c r="J23" s="2"/>
      <x:c r="K23" s="2"/>
      <x:c r="L23" s="2"/>
      <x:c r="M23" s="2"/>
      <x:c r="N23" s="2"/>
      <x:c r="O23" s="2"/>
      <x:c r="P23" s="2"/>
      <x:c r="Q23" s="2"/>
      <x:c r="R23" s="2"/>
      <x:c r="S23" s="2"/>
      <x:c r="T23" s="2"/>
      <x:c r="U23" s="2"/>
      <x:c r="V23" s="2"/>
    </x:row>
    <x:row r="24">
      <x:c r="A24" s="2"/>
      <x:c r="B24" s="2"/>
      <x:c r="C24" s="2"/>
      <x:c r="D24" s="2"/>
      <x:c r="E24" s="2"/>
      <x:c r="F24" s="2"/>
      <x:c r="G24" s="2"/>
      <x:c r="H24" s="2"/>
      <x:c r="I24" s="2"/>
      <x:c r="J24" s="2"/>
      <x:c r="K24" s="2"/>
      <x:c r="L24" s="2"/>
      <x:c r="M24" s="2"/>
      <x:c r="N24" s="2"/>
      <x:c r="O24" s="2"/>
      <x:c r="P24" s="2"/>
      <x:c r="Q24" s="2"/>
      <x:c r="R24" s="2"/>
      <x:c r="S24" s="2"/>
      <x:c r="T24" s="2"/>
      <x:c r="U24" s="2"/>
      <x:c r="V24" s="2"/>
    </x:row>
    <x:row r="25">
      <x:c r="A25" s="2"/>
      <x:c r="B25" s="2"/>
      <x:c r="C25" s="2"/>
      <x:c r="D25" s="2"/>
      <x:c r="E25" s="2"/>
      <x:c r="F25" s="2"/>
      <x:c r="G25" s="2"/>
      <x:c r="H25" s="2"/>
      <x:c r="I25" s="2"/>
      <x:c r="J25" s="2"/>
      <x:c r="K25" s="2"/>
      <x:c r="L25" s="2"/>
      <x:c r="M25" s="2"/>
      <x:c r="N25" s="2"/>
      <x:c r="O25" s="2"/>
      <x:c r="P25" s="2"/>
      <x:c r="Q25" s="2"/>
      <x:c r="R25" s="2"/>
      <x:c r="S25" s="2"/>
      <x:c r="T25" s="2"/>
      <x:c r="U25" s="2"/>
      <x:c r="V25" s="2"/>
    </x:row>
    <x:row r="26">
      <x:c r="A26" s="2"/>
      <x:c r="B26" s="2"/>
      <x:c r="C26" s="2"/>
      <x:c r="D26" s="2"/>
      <x:c r="E26" s="2"/>
      <x:c r="F26" s="2"/>
      <x:c r="G26" s="2"/>
      <x:c r="H26" s="2"/>
      <x:c r="I26" s="2"/>
      <x:c r="J26" s="2"/>
      <x:c r="K26" s="2"/>
      <x:c r="L26" s="2"/>
      <x:c r="M26" s="2"/>
      <x:c r="N26" s="2"/>
      <x:c r="O26" s="2"/>
      <x:c r="P26" s="2"/>
      <x:c r="Q26" s="2"/>
      <x:c r="R26" s="2"/>
      <x:c r="S26" s="2"/>
      <x:c r="T26" s="2"/>
      <x:c r="U26" s="2"/>
      <x:c r="V26" s="2"/>
    </x:row>
    <x:row r="27">
      <x:c r="A27" s="2"/>
      <x:c r="B27" s="2"/>
      <x:c r="C27" s="2"/>
      <x:c r="D27" s="2"/>
      <x:c r="E27" s="2"/>
      <x:c r="F27" s="2"/>
      <x:c r="G27" s="2"/>
      <x:c r="H27" s="2"/>
      <x:c r="I27" s="2"/>
      <x:c r="J27" s="2"/>
      <x:c r="K27" s="2"/>
      <x:c r="L27" s="2"/>
      <x:c r="M27" s="2"/>
      <x:c r="N27" s="2"/>
      <x:c r="O27" s="2"/>
      <x:c r="P27" s="2"/>
      <x:c r="Q27" s="2"/>
      <x:c r="R27" s="2"/>
      <x:c r="S27" s="2"/>
      <x:c r="T27" s="2"/>
      <x:c r="U27" s="2"/>
      <x:c r="V27" s="2"/>
    </x:row>
    <x:row r="28">
      <x:c r="A28" s="2"/>
      <x:c r="B28" s="2"/>
      <x:c r="C28" s="2"/>
      <x:c r="D28" s="2"/>
      <x:c r="E28" s="2"/>
      <x:c r="F28" s="2"/>
      <x:c r="G28" s="2"/>
      <x:c r="H28" s="2"/>
      <x:c r="I28" s="2"/>
      <x:c r="J28" s="2"/>
      <x:c r="K28" s="2"/>
      <x:c r="L28" s="2"/>
      <x:c r="M28" s="2"/>
      <x:c r="N28" s="2"/>
      <x:c r="O28" s="2"/>
      <x:c r="P28" s="2"/>
      <x:c r="Q28" s="2"/>
      <x:c r="R28" s="2"/>
      <x:c r="S28" s="2"/>
      <x:c r="T28" s="2"/>
      <x:c r="U28" s="2"/>
      <x:c r="V28" s="2"/>
    </x:row>
    <x:row r="29">
      <x:c r="A29" s="2"/>
      <x:c r="B29" s="2"/>
      <x:c r="C29" s="2"/>
      <x:c r="D29" s="2"/>
      <x:c r="E29" s="2"/>
      <x:c r="F29" s="2"/>
      <x:c r="G29" s="2"/>
      <x:c r="H29" s="2"/>
      <x:c r="I29" s="2"/>
      <x:c r="J29" s="2"/>
      <x:c r="K29" s="2"/>
      <x:c r="L29" s="2"/>
      <x:c r="M29" s="2"/>
      <x:c r="N29" s="2"/>
      <x:c r="O29" s="2"/>
      <x:c r="P29" s="2"/>
      <x:c r="Q29" s="2"/>
      <x:c r="R29" s="2"/>
      <x:c r="S29" s="2"/>
      <x:c r="T29" s="2"/>
      <x:c r="U29" s="2"/>
      <x:c r="V29" s="2"/>
    </x:row>
    <x:row r="30">
      <x:c r="A30" s="2"/>
      <x:c r="B30" s="2"/>
      <x:c r="C30" s="2"/>
      <x:c r="D30" s="2"/>
      <x:c r="E30" s="2"/>
      <x:c r="F30" s="2"/>
      <x:c r="G30" s="2"/>
      <x:c r="H30" s="2"/>
      <x:c r="I30" s="2"/>
      <x:c r="J30" s="2"/>
      <x:c r="K30" s="2"/>
      <x:c r="L30" s="2"/>
      <x:c r="M30" s="2"/>
      <x:c r="N30" s="2"/>
      <x:c r="O30" s="2"/>
      <x:c r="P30" s="2"/>
      <x:c r="Q30" s="2"/>
      <x:c r="R30" s="2"/>
      <x:c r="S30" s="2"/>
      <x:c r="T30" s="2"/>
      <x:c r="U30" s="2"/>
      <x:c r="V30" s="2"/>
    </x:row>
    <x:row r="31">
      <x:c r="A31" s="2"/>
      <x:c r="B31" s="2"/>
      <x:c r="C31" s="2"/>
      <x:c r="D31" s="2"/>
      <x:c r="E31" s="2"/>
      <x:c r="F31" s="2"/>
      <x:c r="G31" s="2"/>
      <x:c r="H31" s="2"/>
      <x:c r="I31" s="2"/>
      <x:c r="J31" s="2"/>
      <x:c r="K31" s="2"/>
      <x:c r="L31" s="2"/>
      <x:c r="M31" s="2"/>
      <x:c r="N31" s="2"/>
      <x:c r="O31" s="2"/>
      <x:c r="P31" s="2"/>
      <x:c r="Q31" s="2"/>
      <x:c r="R31" s="2"/>
      <x:c r="S31" s="2"/>
      <x:c r="T31" s="2"/>
      <x:c r="U31" s="2"/>
      <x:c r="V31" s="2"/>
    </x:row>
    <x:row r="32">
      <x:c r="A32" s="2"/>
      <x:c r="B32" s="2"/>
      <x:c r="C32" s="2"/>
      <x:c r="D32" s="2"/>
      <x:c r="E32" s="2"/>
      <x:c r="F32" s="2"/>
      <x:c r="G32" s="2"/>
      <x:c r="H32" s="2"/>
      <x:c r="I32" s="2"/>
      <x:c r="J32" s="2"/>
      <x:c r="K32" s="2"/>
      <x:c r="L32" s="2"/>
      <x:c r="M32" s="2"/>
      <x:c r="N32" s="2"/>
      <x:c r="O32" s="2"/>
      <x:c r="P32" s="2"/>
      <x:c r="Q32" s="2"/>
      <x:c r="R32" s="2"/>
      <x:c r="S32" s="2"/>
      <x:c r="T32" s="2"/>
      <x:c r="U32" s="2"/>
      <x:c r="V32" s="2"/>
    </x:row>
    <x:row r="33">
      <x:c r="A33" s="2"/>
      <x:c r="B33" s="2"/>
      <x:c r="C33" s="2"/>
      <x:c r="D33" s="2"/>
      <x:c r="E33" s="2"/>
      <x:c r="F33" s="2"/>
      <x:c r="G33" s="2"/>
      <x:c r="H33" s="2"/>
      <x:c r="I33" s="2"/>
      <x:c r="J33" s="2"/>
      <x:c r="K33" s="2"/>
      <x:c r="L33" s="2"/>
      <x:c r="M33" s="2"/>
      <x:c r="N33" s="2"/>
      <x:c r="O33" s="2"/>
      <x:c r="P33" s="2"/>
      <x:c r="Q33" s="2"/>
      <x:c r="R33" s="2"/>
      <x:c r="S33" s="2"/>
      <x:c r="T33" s="2"/>
      <x:c r="U33" s="2"/>
      <x:c r="V33" s="2"/>
    </x:row>
    <x:row r="34">
      <x:c r="A34" s="2"/>
      <x:c r="B34" s="2"/>
      <x:c r="C34" s="2"/>
      <x:c r="D34" s="2"/>
      <x:c r="E34" s="2"/>
      <x:c r="F34" s="2"/>
      <x:c r="G34" s="2"/>
      <x:c r="H34" s="2"/>
      <x:c r="I34" s="2"/>
      <x:c r="J34" s="2"/>
      <x:c r="K34" s="2"/>
      <x:c r="L34" s="2"/>
      <x:c r="M34" s="2"/>
      <x:c r="N34" s="2"/>
      <x:c r="O34" s="2"/>
      <x:c r="P34" s="2"/>
      <x:c r="Q34" s="2"/>
      <x:c r="R34" s="2"/>
      <x:c r="S34" s="2"/>
      <x:c r="T34" s="2"/>
      <x:c r="U34" s="2"/>
      <x:c r="V34" s="2"/>
    </x:row>
    <x:row r="35">
      <x:c r="A35" s="2"/>
      <x:c r="B35" s="2"/>
      <x:c r="C35" s="2"/>
      <x:c r="D35" s="2"/>
      <x:c r="E35" s="2"/>
      <x:c r="F35" s="2"/>
      <x:c r="G35" s="2"/>
      <x:c r="H35" s="2"/>
      <x:c r="I35" s="2"/>
      <x:c r="J35" s="2"/>
      <x:c r="K35" s="2"/>
      <x:c r="L35" s="2"/>
      <x:c r="M35" s="2"/>
      <x:c r="N35" s="2"/>
      <x:c r="O35" s="2"/>
      <x:c r="P35" s="2"/>
      <x:c r="Q35" s="2"/>
      <x:c r="R35" s="2"/>
      <x:c r="S35" s="2"/>
      <x:c r="T35" s="2"/>
      <x:c r="U35" s="2"/>
      <x:c r="V35" s="2"/>
    </x:row>
    <x:row r="36">
      <x:c r="A36" s="2"/>
      <x:c r="B36" s="2"/>
      <x:c r="C36" s="2"/>
      <x:c r="D36" s="2"/>
      <x:c r="E36" s="2"/>
      <x:c r="F36" s="2"/>
      <x:c r="G36" s="2"/>
      <x:c r="H36" s="2"/>
      <x:c r="I36" s="2"/>
      <x:c r="J36" s="2"/>
      <x:c r="K36" s="2"/>
      <x:c r="L36" s="2"/>
      <x:c r="M36" s="2"/>
      <x:c r="N36" s="2"/>
      <x:c r="O36" s="2"/>
      <x:c r="P36" s="2"/>
      <x:c r="Q36" s="2"/>
      <x:c r="R36" s="2"/>
      <x:c r="S36" s="2"/>
      <x:c r="T36" s="2"/>
      <x:c r="U36" s="2"/>
      <x:c r="V36" s="2"/>
    </x:row>
    <x:row r="37">
      <x:c r="A37" s="2"/>
      <x:c r="B37" s="2"/>
      <x:c r="C37" s="2"/>
      <x:c r="D37" s="2"/>
      <x:c r="E37" s="2"/>
      <x:c r="F37" s="2"/>
      <x:c r="G37" s="2"/>
      <x:c r="H37" s="2"/>
      <x:c r="I37" s="2"/>
      <x:c r="J37" s="2"/>
      <x:c r="K37" s="2"/>
      <x:c r="L37" s="2"/>
      <x:c r="M37" s="2"/>
      <x:c r="N37" s="2"/>
      <x:c r="O37" s="2"/>
      <x:c r="P37" s="2"/>
      <x:c r="Q37" s="2"/>
      <x:c r="R37" s="2"/>
      <x:c r="S37" s="2"/>
      <x:c r="T37" s="2"/>
      <x:c r="U37" s="2"/>
      <x:c r="V37" s="2"/>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row r="66">
      <x:c r="A66" s="2"/>
      <x:c r="B66" s="2"/>
      <x:c r="C66" s="2"/>
      <x:c r="D66" s="2"/>
      <x:c r="E66" s="2"/>
      <x:c r="F66" s="2"/>
      <x:c r="G66" s="2"/>
      <x:c r="H66" s="2"/>
      <x:c r="I66" s="2"/>
      <x:c r="J66" s="2"/>
      <x:c r="K66" s="2"/>
      <x:c r="L66" s="2"/>
      <x:c r="M66" s="2"/>
      <x:c r="N66" s="2"/>
      <x:c r="O66" s="2"/>
      <x:c r="P66" s="2"/>
      <x:c r="Q66" s="2"/>
      <x:c r="R66" s="2"/>
      <x:c r="S66" s="2"/>
      <x:c r="T66" s="2"/>
      <x:c r="U66" s="2"/>
      <x:c r="V66" s="2"/>
    </x:row>
    <x:row r="67">
      <x:c r="A67" s="2"/>
      <x:c r="B67" s="2"/>
      <x:c r="C67" s="2"/>
      <x:c r="D67" s="2"/>
      <x:c r="E67" s="2"/>
      <x:c r="F67" s="2"/>
      <x:c r="G67" s="2"/>
      <x:c r="H67" s="2"/>
      <x:c r="I67" s="2"/>
      <x:c r="J67" s="2"/>
      <x:c r="K67" s="2"/>
      <x:c r="L67" s="2"/>
      <x:c r="M67" s="2"/>
      <x:c r="N67" s="2"/>
      <x:c r="O67" s="2"/>
      <x:c r="P67" s="2"/>
      <x:c r="Q67" s="2"/>
      <x:c r="R67" s="2"/>
      <x:c r="S67" s="2"/>
      <x:c r="T67" s="2"/>
      <x:c r="U67" s="2"/>
      <x:c r="V67" s="2"/>
    </x:row>
    <x:row r="68">
      <x:c r="A68" s="2"/>
      <x:c r="B68" s="2"/>
      <x:c r="C68" s="2"/>
      <x:c r="D68" s="2"/>
      <x:c r="E68" s="2"/>
      <x:c r="F68" s="2"/>
      <x:c r="G68" s="2"/>
      <x:c r="H68" s="2"/>
      <x:c r="I68" s="2"/>
      <x:c r="J68" s="2"/>
      <x:c r="K68" s="2"/>
      <x:c r="L68" s="2"/>
      <x:c r="M68" s="2"/>
      <x:c r="N68" s="2"/>
      <x:c r="O68" s="2"/>
      <x:c r="P68" s="2"/>
      <x:c r="Q68" s="2"/>
      <x:c r="R68" s="2"/>
      <x:c r="S68" s="2"/>
      <x:c r="T68" s="2"/>
      <x:c r="U68" s="2"/>
      <x:c r="V68" s="2"/>
    </x:row>
    <x:row r="69">
      <x:c r="A69" s="2"/>
      <x:c r="B69" s="2"/>
      <x:c r="C69" s="2"/>
      <x:c r="D69" s="2"/>
      <x:c r="E69" s="2"/>
      <x:c r="F69" s="2"/>
      <x:c r="G69" s="2"/>
      <x:c r="H69" s="2"/>
      <x:c r="I69" s="2"/>
      <x:c r="J69" s="2"/>
      <x:c r="K69" s="2"/>
      <x:c r="L69" s="2"/>
      <x:c r="M69" s="2"/>
      <x:c r="N69" s="2"/>
      <x:c r="O69" s="2"/>
      <x:c r="P69" s="2"/>
      <x:c r="Q69" s="2"/>
      <x:c r="R69" s="2"/>
      <x:c r="S69" s="2"/>
      <x:c r="T69" s="2"/>
      <x:c r="U69" s="2"/>
      <x:c r="V69" s="2"/>
    </x:row>
    <x:row r="70">
      <x:c r="A70" s="2"/>
      <x:c r="B70" s="2"/>
      <x:c r="C70" s="2"/>
      <x:c r="D70" s="2"/>
      <x:c r="E70" s="2"/>
      <x:c r="F70" s="2"/>
      <x:c r="G70" s="2"/>
      <x:c r="H70" s="2"/>
      <x:c r="I70" s="2"/>
      <x:c r="J70" s="2"/>
      <x:c r="K70" s="2"/>
      <x:c r="L70" s="2"/>
      <x:c r="M70" s="2"/>
      <x:c r="N70" s="2"/>
      <x:c r="O70" s="2"/>
      <x:c r="P70" s="2"/>
      <x:c r="Q70" s="2"/>
      <x:c r="R70" s="2"/>
      <x:c r="S70" s="2"/>
      <x:c r="T70" s="2"/>
      <x:c r="U70" s="2"/>
      <x:c r="V70" s="2"/>
    </x:row>
    <x:row r="71">
      <x:c r="A71" s="2"/>
      <x:c r="B71" s="2"/>
      <x:c r="C71" s="2"/>
      <x:c r="D71" s="2"/>
      <x:c r="E71" s="2"/>
      <x:c r="F71" s="2"/>
      <x:c r="G71" s="2"/>
      <x:c r="H71" s="2"/>
      <x:c r="I71" s="2"/>
      <x:c r="J71" s="2"/>
      <x:c r="K71" s="2"/>
      <x:c r="L71" s="2"/>
      <x:c r="M71" s="2"/>
      <x:c r="N71" s="2"/>
      <x:c r="O71" s="2"/>
      <x:c r="P71" s="2"/>
      <x:c r="Q71" s="2"/>
      <x:c r="R71" s="2"/>
      <x:c r="S71" s="2"/>
      <x:c r="T71" s="2"/>
      <x:c r="U71" s="2"/>
      <x:c r="V71" s="2"/>
    </x:row>
    <x:row r="72">
      <x:c r="A72" s="2"/>
      <x:c r="B72" s="2"/>
      <x:c r="C72" s="2"/>
      <x:c r="D72" s="2"/>
      <x:c r="E72" s="2"/>
      <x:c r="F72" s="2"/>
      <x:c r="G72" s="2"/>
      <x:c r="H72" s="2"/>
      <x:c r="I72" s="2"/>
      <x:c r="J72" s="2"/>
      <x:c r="K72" s="2"/>
      <x:c r="L72" s="2"/>
      <x:c r="M72" s="2"/>
      <x:c r="N72" s="2"/>
      <x:c r="O72" s="2"/>
      <x:c r="P72" s="2"/>
      <x:c r="Q72" s="2"/>
      <x:c r="R72" s="2"/>
      <x:c r="S72" s="2"/>
      <x:c r="T72" s="2"/>
      <x:c r="U72" s="2"/>
      <x:c r="V72" s="2"/>
    </x:row>
    <x:row r="73">
      <x:c r="A73" s="2"/>
      <x:c r="B73" s="2"/>
      <x:c r="C73" s="2"/>
      <x:c r="D73" s="2"/>
      <x:c r="E73" s="2"/>
      <x:c r="F73" s="2"/>
      <x:c r="G73" s="2"/>
      <x:c r="H73" s="2"/>
      <x:c r="I73" s="2"/>
      <x:c r="J73" s="2"/>
      <x:c r="K73" s="2"/>
      <x:c r="L73" s="2"/>
      <x:c r="M73" s="2"/>
      <x:c r="N73" s="2"/>
      <x:c r="O73" s="2"/>
      <x:c r="P73" s="2"/>
      <x:c r="Q73" s="2"/>
      <x:c r="R73" s="2"/>
      <x:c r="S73" s="2"/>
      <x:c r="T73" s="2"/>
      <x:c r="U73" s="2"/>
      <x:c r="V73" s="2"/>
    </x:row>
    <x:row r="74">
      <x:c r="A74" s="2"/>
      <x:c r="B74" s="2"/>
      <x:c r="C74" s="2"/>
      <x:c r="D74" s="2"/>
      <x:c r="E74" s="2"/>
      <x:c r="F74" s="2"/>
      <x:c r="G74" s="2"/>
      <x:c r="H74" s="2"/>
      <x:c r="I74" s="2"/>
      <x:c r="J74" s="2"/>
      <x:c r="K74" s="2"/>
      <x:c r="L74" s="2"/>
      <x:c r="M74" s="2"/>
      <x:c r="N74" s="2"/>
      <x:c r="O74" s="2"/>
      <x:c r="P74" s="2"/>
      <x:c r="Q74" s="2"/>
      <x:c r="R74" s="2"/>
      <x:c r="S74" s="2"/>
      <x:c r="T74" s="2"/>
      <x:c r="U74" s="2"/>
      <x:c r="V74" s="2"/>
    </x:row>
    <x:row r="75">
      <x:c r="A75" s="2"/>
      <x:c r="B75" s="2"/>
      <x:c r="C75" s="2"/>
      <x:c r="D75" s="2"/>
      <x:c r="E75" s="2"/>
      <x:c r="F75" s="2"/>
      <x:c r="G75" s="2"/>
      <x:c r="H75" s="2"/>
      <x:c r="I75" s="2"/>
      <x:c r="J75" s="2"/>
      <x:c r="K75" s="2"/>
      <x:c r="L75" s="2"/>
      <x:c r="M75" s="2"/>
      <x:c r="N75" s="2"/>
      <x:c r="O75" s="2"/>
      <x:c r="P75" s="2"/>
      <x:c r="Q75" s="2"/>
      <x:c r="R75" s="2"/>
      <x:c r="S75" s="2"/>
      <x:c r="T75" s="2"/>
      <x:c r="U75" s="2"/>
      <x:c r="V75" s="2"/>
    </x:row>
    <x:row r="76">
      <x:c r="A76" s="2"/>
      <x:c r="B76" s="2"/>
      <x:c r="C76" s="2"/>
      <x:c r="D76" s="2"/>
      <x:c r="E76" s="2"/>
      <x:c r="F76" s="2"/>
      <x:c r="G76" s="2"/>
      <x:c r="H76" s="2"/>
      <x:c r="I76" s="2"/>
      <x:c r="J76" s="2"/>
      <x:c r="K76" s="2"/>
      <x:c r="L76" s="2"/>
      <x:c r="M76" s="2"/>
      <x:c r="N76" s="2"/>
      <x:c r="O76" s="2"/>
      <x:c r="P76" s="2"/>
      <x:c r="Q76" s="2"/>
      <x:c r="R76" s="2"/>
      <x:c r="S76" s="2"/>
      <x:c r="T76" s="2"/>
      <x:c r="U76" s="2"/>
      <x:c r="V76" s="2"/>
    </x:row>
    <x:row r="77">
      <x:c r="A77" s="2"/>
      <x:c r="B77" s="2"/>
      <x:c r="C77" s="2"/>
      <x:c r="D77" s="2"/>
      <x:c r="E77" s="2"/>
      <x:c r="F77" s="2"/>
      <x:c r="G77" s="2"/>
      <x:c r="H77" s="2"/>
      <x:c r="I77" s="2"/>
      <x:c r="J77" s="2"/>
      <x:c r="K77" s="2"/>
      <x:c r="L77" s="2"/>
      <x:c r="M77" s="2"/>
      <x:c r="N77" s="2"/>
      <x:c r="O77" s="2"/>
      <x:c r="P77" s="2"/>
      <x:c r="Q77" s="2"/>
      <x:c r="R77" s="2"/>
      <x:c r="S77" s="2"/>
      <x:c r="T77" s="2"/>
      <x:c r="U77" s="2"/>
      <x:c r="V77" s="2"/>
    </x:row>
    <x:row r="78">
      <x:c r="A78" s="2"/>
      <x:c r="B78" s="2"/>
      <x:c r="C78" s="2"/>
      <x:c r="D78" s="2"/>
      <x:c r="E78" s="2"/>
      <x:c r="F78" s="2"/>
      <x:c r="G78" s="2"/>
      <x:c r="H78" s="2"/>
      <x:c r="I78" s="2"/>
      <x:c r="J78" s="2"/>
      <x:c r="K78" s="2"/>
      <x:c r="L78" s="2"/>
      <x:c r="M78" s="2"/>
      <x:c r="N78" s="2"/>
      <x:c r="O78" s="2"/>
      <x:c r="P78" s="2"/>
      <x:c r="Q78" s="2"/>
      <x:c r="R78" s="2"/>
      <x:c r="S78" s="2"/>
      <x:c r="T78" s="2"/>
      <x:c r="U78" s="2"/>
      <x:c r="V78" s="2"/>
    </x:row>
    <x:row r="79">
      <x:c r="A79" s="2"/>
      <x:c r="B79" s="2"/>
      <x:c r="C79" s="2"/>
      <x:c r="D79" s="2"/>
      <x:c r="E79" s="2"/>
      <x:c r="F79" s="2"/>
      <x:c r="G79" s="2"/>
      <x:c r="H79" s="2"/>
      <x:c r="I79" s="2"/>
      <x:c r="J79" s="2"/>
      <x:c r="K79" s="2"/>
      <x:c r="L79" s="2"/>
      <x:c r="M79" s="2"/>
      <x:c r="N79" s="2"/>
      <x:c r="O79" s="2"/>
      <x:c r="P79" s="2"/>
      <x:c r="Q79" s="2"/>
      <x:c r="R79" s="2"/>
      <x:c r="S79" s="2"/>
      <x:c r="T79" s="2"/>
      <x:c r="U79" s="2"/>
      <x:c r="V79" s="2"/>
    </x:row>
    <x:row r="80">
      <x:c r="A80" s="2"/>
      <x:c r="B80" s="2"/>
      <x:c r="C80" s="2"/>
      <x:c r="D80" s="2"/>
      <x:c r="E80" s="2"/>
      <x:c r="F80" s="2"/>
      <x:c r="G80" s="2"/>
      <x:c r="H80" s="2"/>
      <x:c r="I80" s="2"/>
      <x:c r="J80" s="2"/>
      <x:c r="K80" s="2"/>
      <x:c r="L80" s="2"/>
      <x:c r="M80" s="2"/>
      <x:c r="N80" s="2"/>
      <x:c r="O80" s="2"/>
      <x:c r="P80" s="2"/>
      <x:c r="Q80" s="2"/>
      <x:c r="R80" s="2"/>
      <x:c r="S80" s="2"/>
      <x:c r="T80" s="2"/>
      <x:c r="U80" s="2"/>
      <x:c r="V80" s="2"/>
    </x:row>
    <x:row r="81">
      <x:c r="A81" s="2"/>
      <x:c r="B81" s="2"/>
      <x:c r="C81" s="2"/>
      <x:c r="D81" s="2"/>
      <x:c r="E81" s="2"/>
      <x:c r="F81" s="2"/>
      <x:c r="G81" s="2"/>
      <x:c r="H81" s="2"/>
      <x:c r="I81" s="2"/>
      <x:c r="J81" s="2"/>
      <x:c r="K81" s="2"/>
      <x:c r="L81" s="2"/>
      <x:c r="M81" s="2"/>
      <x:c r="N81" s="2"/>
      <x:c r="O81" s="2"/>
      <x:c r="P81" s="2"/>
      <x:c r="Q81" s="2"/>
      <x:c r="R81" s="2"/>
      <x:c r="S81" s="2"/>
      <x:c r="T81" s="2"/>
      <x:c r="U81" s="2"/>
      <x:c r="V81" s="2"/>
    </x:row>
    <x:row r="82">
      <x:c r="A82" s="2"/>
      <x:c r="B82" s="2"/>
      <x:c r="C82" s="2"/>
      <x:c r="D82" s="2"/>
      <x:c r="E82" s="2"/>
      <x:c r="F82" s="2"/>
      <x:c r="G82" s="2"/>
      <x:c r="H82" s="2"/>
      <x:c r="I82" s="2"/>
      <x:c r="J82" s="2"/>
      <x:c r="K82" s="2"/>
      <x:c r="L82" s="2"/>
      <x:c r="M82" s="2"/>
      <x:c r="N82" s="2"/>
      <x:c r="O82" s="2"/>
      <x:c r="P82" s="2"/>
      <x:c r="Q82" s="2"/>
      <x:c r="R82" s="2"/>
      <x:c r="S82" s="2"/>
      <x:c r="T82" s="2"/>
      <x:c r="U82" s="2"/>
      <x:c r="V82" s="2"/>
    </x:row>
    <x:row r="83">
      <x:c r="A83" s="2"/>
      <x:c r="B83" s="2"/>
      <x:c r="C83" s="2"/>
      <x:c r="D83" s="2"/>
      <x:c r="E83" s="2"/>
      <x:c r="F83" s="2"/>
      <x:c r="G83" s="2"/>
      <x:c r="H83" s="2"/>
      <x:c r="I83" s="2"/>
      <x:c r="J83" s="2"/>
      <x:c r="K83" s="2"/>
      <x:c r="L83" s="2"/>
      <x:c r="M83" s="2"/>
      <x:c r="N83" s="2"/>
      <x:c r="O83" s="2"/>
      <x:c r="P83" s="2"/>
      <x:c r="Q83" s="2"/>
      <x:c r="R83" s="2"/>
      <x:c r="S83" s="2"/>
      <x:c r="T83" s="2"/>
      <x:c r="U83" s="2"/>
      <x:c r="V83" s="2"/>
    </x:row>
    <x:row r="84">
      <x:c r="A84" s="2"/>
      <x:c r="B84" s="2"/>
      <x:c r="C84" s="2"/>
      <x:c r="D84" s="2"/>
      <x:c r="E84" s="2"/>
      <x:c r="F84" s="2"/>
      <x:c r="G84" s="2"/>
      <x:c r="H84" s="2"/>
      <x:c r="I84" s="2"/>
      <x:c r="J84" s="2"/>
      <x:c r="K84" s="2"/>
      <x:c r="L84" s="2"/>
      <x:c r="M84" s="2"/>
      <x:c r="N84" s="2"/>
      <x:c r="O84" s="2"/>
      <x:c r="P84" s="2"/>
      <x:c r="Q84" s="2"/>
      <x:c r="R84" s="2"/>
      <x:c r="S84" s="2"/>
      <x:c r="T84" s="2"/>
      <x:c r="U84" s="2"/>
      <x:c r="V84" s="2"/>
    </x:row>
    <x:row r="85">
      <x:c r="A85" s="2"/>
      <x:c r="B85" s="2"/>
      <x:c r="C85" s="2"/>
      <x:c r="D85" s="2"/>
      <x:c r="E85" s="2"/>
      <x:c r="F85" s="2"/>
      <x:c r="G85" s="2"/>
      <x:c r="H85" s="2"/>
      <x:c r="I85" s="2"/>
      <x:c r="J85" s="2"/>
      <x:c r="K85" s="2"/>
      <x:c r="L85" s="2"/>
      <x:c r="M85" s="2"/>
      <x:c r="N85" s="2"/>
      <x:c r="O85" s="2"/>
      <x:c r="P85" s="2"/>
      <x:c r="Q85" s="2"/>
      <x:c r="R85" s="2"/>
      <x:c r="S85" s="2"/>
      <x:c r="T85" s="2"/>
      <x:c r="U85" s="2"/>
      <x:c r="V85" s="2"/>
    </x:row>
    <x:row r="86">
      <x:c r="A86" s="2"/>
      <x:c r="B86" s="2"/>
      <x:c r="C86" s="2"/>
      <x:c r="D86" s="2"/>
      <x:c r="E86" s="2"/>
      <x:c r="F86" s="2"/>
      <x:c r="G86" s="2"/>
      <x:c r="H86" s="2"/>
      <x:c r="I86" s="2"/>
      <x:c r="J86" s="2"/>
      <x:c r="K86" s="2"/>
      <x:c r="L86" s="2"/>
      <x:c r="M86" s="2"/>
      <x:c r="N86" s="2"/>
      <x:c r="O86" s="2"/>
      <x:c r="P86" s="2"/>
      <x:c r="Q86" s="2"/>
      <x:c r="R86" s="2"/>
      <x:c r="S86" s="2"/>
      <x:c r="T86" s="2"/>
      <x:c r="U86" s="2"/>
      <x:c r="V86" s="2"/>
    </x:row>
    <x:row r="87">
      <x:c r="A87" s="2"/>
      <x:c r="B87" s="2"/>
      <x:c r="C87" s="2"/>
      <x:c r="D87" s="2"/>
      <x:c r="E87" s="2"/>
      <x:c r="F87" s="2"/>
      <x:c r="G87" s="2"/>
      <x:c r="H87" s="2"/>
      <x:c r="I87" s="2"/>
      <x:c r="J87" s="2"/>
      <x:c r="K87" s="2"/>
      <x:c r="L87" s="2"/>
      <x:c r="M87" s="2"/>
      <x:c r="N87" s="2"/>
      <x:c r="O87" s="2"/>
      <x:c r="P87" s="2"/>
      <x:c r="Q87" s="2"/>
      <x:c r="R87" s="2"/>
      <x:c r="S87" s="2"/>
      <x:c r="T87" s="2"/>
      <x:c r="U87" s="2"/>
      <x:c r="V87" s="2"/>
    </x:row>
    <x:row r="88">
      <x:c r="A88" s="2"/>
      <x:c r="B88" s="2"/>
      <x:c r="C88" s="2"/>
      <x:c r="D88" s="2"/>
      <x:c r="E88" s="2"/>
      <x:c r="F88" s="2"/>
      <x:c r="G88" s="2"/>
      <x:c r="H88" s="2"/>
      <x:c r="I88" s="2"/>
      <x:c r="J88" s="2"/>
      <x:c r="K88" s="2"/>
      <x:c r="L88" s="2"/>
      <x:c r="M88" s="2"/>
      <x:c r="N88" s="2"/>
      <x:c r="O88" s="2"/>
      <x:c r="P88" s="2"/>
      <x:c r="Q88" s="2"/>
      <x:c r="R88" s="2"/>
      <x:c r="S88" s="2"/>
      <x:c r="T88" s="2"/>
      <x:c r="U88" s="2"/>
      <x:c r="V88" s="2"/>
    </x:row>
    <x:row r="89">
      <x:c r="A89" s="2"/>
      <x:c r="B89" s="2"/>
      <x:c r="C89" s="2"/>
      <x:c r="D89" s="2"/>
      <x:c r="E89" s="2"/>
      <x:c r="F89" s="2"/>
      <x:c r="G89" s="2"/>
      <x:c r="H89" s="2"/>
      <x:c r="I89" s="2"/>
      <x:c r="J89" s="2"/>
      <x:c r="K89" s="2"/>
      <x:c r="L89" s="2"/>
      <x:c r="M89" s="2"/>
      <x:c r="N89" s="2"/>
      <x:c r="O89" s="2"/>
      <x:c r="P89" s="2"/>
      <x:c r="Q89" s="2"/>
      <x:c r="R89" s="2"/>
      <x:c r="S89" s="2"/>
      <x:c r="T89" s="2"/>
      <x:c r="U89" s="2"/>
      <x:c r="V89" s="2"/>
    </x:row>
    <x:row r="90">
      <x:c r="A90" s="2"/>
      <x:c r="B90" s="2"/>
      <x:c r="C90" s="2"/>
      <x:c r="D90" s="2"/>
      <x:c r="E90" s="2"/>
      <x:c r="F90" s="2"/>
      <x:c r="G90" s="2"/>
      <x:c r="H90" s="2"/>
      <x:c r="I90" s="2"/>
      <x:c r="J90" s="2"/>
      <x:c r="K90" s="2"/>
      <x:c r="L90" s="2"/>
      <x:c r="M90" s="2"/>
      <x:c r="N90" s="2"/>
      <x:c r="O90" s="2"/>
      <x:c r="P90" s="2"/>
      <x:c r="Q90" s="2"/>
      <x:c r="R90" s="2"/>
      <x:c r="S90" s="2"/>
      <x:c r="T90" s="2"/>
      <x:c r="U90" s="2"/>
      <x:c r="V90" s="2"/>
    </x:row>
    <x:row r="91">
      <x:c r="A91" s="2"/>
      <x:c r="B91" s="2"/>
      <x:c r="C91" s="2"/>
      <x:c r="D91" s="2"/>
      <x:c r="E91" s="2"/>
      <x:c r="F91" s="2"/>
      <x:c r="G91" s="2"/>
      <x:c r="H91" s="2"/>
      <x:c r="I91" s="2"/>
      <x:c r="J91" s="2"/>
      <x:c r="K91" s="2"/>
      <x:c r="L91" s="2"/>
      <x:c r="M91" s="2"/>
      <x:c r="N91" s="2"/>
      <x:c r="O91" s="2"/>
      <x:c r="P91" s="2"/>
      <x:c r="Q91" s="2"/>
      <x:c r="R91" s="2"/>
      <x:c r="S91" s="2"/>
      <x:c r="T91" s="2"/>
      <x:c r="U91" s="2"/>
      <x:c r="V91" s="2"/>
    </x:row>
    <x:row r="92">
      <x:c r="A92" s="2"/>
      <x:c r="B92" s="2"/>
      <x:c r="C92" s="2"/>
      <x:c r="D92" s="2"/>
      <x:c r="E92" s="2"/>
      <x:c r="F92" s="2"/>
      <x:c r="G92" s="2"/>
      <x:c r="H92" s="2"/>
      <x:c r="I92" s="2"/>
      <x:c r="J92" s="2"/>
      <x:c r="K92" s="2"/>
      <x:c r="L92" s="2"/>
      <x:c r="M92" s="2"/>
      <x:c r="N92" s="2"/>
      <x:c r="O92" s="2"/>
      <x:c r="P92" s="2"/>
      <x:c r="Q92" s="2"/>
      <x:c r="R92" s="2"/>
      <x:c r="S92" s="2"/>
      <x:c r="T92" s="2"/>
      <x:c r="U92" s="2"/>
      <x:c r="V92" s="2"/>
    </x:row>
    <x:row r="93">
      <x:c r="A93" s="2"/>
      <x:c r="B93" s="2"/>
      <x:c r="C93" s="2"/>
      <x:c r="D93" s="2"/>
      <x:c r="E93" s="2"/>
      <x:c r="F93" s="2"/>
      <x:c r="G93" s="2"/>
      <x:c r="H93" s="2"/>
      <x:c r="I93" s="2"/>
      <x:c r="J93" s="2"/>
      <x:c r="K93" s="2"/>
      <x:c r="L93" s="2"/>
      <x:c r="M93" s="2"/>
      <x:c r="N93" s="2"/>
      <x:c r="O93" s="2"/>
      <x:c r="P93" s="2"/>
      <x:c r="Q93" s="2"/>
      <x:c r="R93" s="2"/>
      <x:c r="S93" s="2"/>
      <x:c r="T93" s="2"/>
      <x:c r="U93" s="2"/>
      <x:c r="V93" s="2"/>
    </x:row>
    <x:row r="94">
      <x:c r="A94" s="2"/>
      <x:c r="B94" s="2"/>
      <x:c r="C94" s="2"/>
      <x:c r="D94" s="2"/>
      <x:c r="E94" s="2"/>
      <x:c r="F94" s="2"/>
      <x:c r="G94" s="2"/>
      <x:c r="H94" s="2"/>
      <x:c r="I94" s="2"/>
      <x:c r="J94" s="2"/>
      <x:c r="K94" s="2"/>
      <x:c r="L94" s="2"/>
      <x:c r="M94" s="2"/>
      <x:c r="N94" s="2"/>
      <x:c r="O94" s="2"/>
      <x:c r="P94" s="2"/>
      <x:c r="Q94" s="2"/>
      <x:c r="R94" s="2"/>
      <x:c r="S94" s="2"/>
      <x:c r="T94" s="2"/>
      <x:c r="U94" s="2"/>
      <x:c r="V94" s="2"/>
    </x:row>
    <x:row r="95">
      <x:c r="A95" s="2"/>
      <x:c r="B95" s="2"/>
      <x:c r="C95" s="2"/>
      <x:c r="D95" s="2"/>
      <x:c r="E95" s="2"/>
      <x:c r="F95" s="2"/>
      <x:c r="G95" s="2"/>
      <x:c r="H95" s="2"/>
      <x:c r="I95" s="2"/>
      <x:c r="J95" s="2"/>
      <x:c r="K95" s="2"/>
      <x:c r="L95" s="2"/>
      <x:c r="M95" s="2"/>
      <x:c r="N95" s="2"/>
      <x:c r="O95" s="2"/>
      <x:c r="P95" s="2"/>
      <x:c r="Q95" s="2"/>
      <x:c r="R95" s="2"/>
      <x:c r="S95" s="2"/>
      <x:c r="T95" s="2"/>
      <x:c r="U95" s="2"/>
      <x:c r="V95" s="2"/>
    </x:row>
    <x:row r="96">
      <x:c r="A96" s="2"/>
      <x:c r="B96" s="2"/>
      <x:c r="C96" s="2"/>
      <x:c r="D96" s="2"/>
      <x:c r="E96" s="2"/>
      <x:c r="F96" s="2"/>
      <x:c r="G96" s="2"/>
      <x:c r="H96" s="2"/>
      <x:c r="I96" s="2"/>
      <x:c r="J96" s="2"/>
      <x:c r="K96" s="2"/>
      <x:c r="L96" s="2"/>
      <x:c r="M96" s="2"/>
      <x:c r="N96" s="2"/>
      <x:c r="O96" s="2"/>
      <x:c r="P96" s="2"/>
      <x:c r="Q96" s="2"/>
      <x:c r="R96" s="2"/>
      <x:c r="S96" s="2"/>
      <x:c r="T96" s="2"/>
      <x:c r="U96" s="2"/>
      <x:c r="V96" s="2"/>
    </x:row>
    <x:row r="97">
      <x:c r="A97" s="2"/>
      <x:c r="B97" s="2"/>
      <x:c r="C97" s="2"/>
      <x:c r="D97" s="2"/>
      <x:c r="E97" s="2"/>
      <x:c r="F97" s="2"/>
      <x:c r="G97" s="2"/>
      <x:c r="H97" s="2"/>
      <x:c r="I97" s="2"/>
      <x:c r="J97" s="2"/>
      <x:c r="K97" s="2"/>
      <x:c r="L97" s="2"/>
      <x:c r="M97" s="2"/>
      <x:c r="N97" s="2"/>
      <x:c r="O97" s="2"/>
      <x:c r="P97" s="2"/>
      <x:c r="Q97" s="2"/>
      <x:c r="R97" s="2"/>
      <x:c r="S97" s="2"/>
      <x:c r="T97" s="2"/>
      <x:c r="U97" s="2"/>
      <x:c r="V97" s="2"/>
    </x:row>
    <x:row r="98">
      <x:c r="A98" s="2"/>
      <x:c r="B98" s="2"/>
      <x:c r="C98" s="2"/>
      <x:c r="D98" s="2"/>
      <x:c r="E98" s="2"/>
      <x:c r="F98" s="2"/>
      <x:c r="G98" s="2"/>
      <x:c r="H98" s="2"/>
      <x:c r="I98" s="2"/>
      <x:c r="J98" s="2"/>
      <x:c r="K98" s="2"/>
      <x:c r="L98" s="2"/>
      <x:c r="M98" s="2"/>
      <x:c r="N98" s="2"/>
      <x:c r="O98" s="2"/>
      <x:c r="P98" s="2"/>
      <x:c r="Q98" s="2"/>
      <x:c r="R98" s="2"/>
      <x:c r="S98" s="2"/>
      <x:c r="T98" s="2"/>
      <x:c r="U98" s="2"/>
      <x:c r="V98" s="2"/>
    </x:row>
    <x:row r="99">
      <x:c r="A99" s="2"/>
      <x:c r="B99" s="2"/>
      <x:c r="C99" s="2"/>
      <x:c r="D99" s="2"/>
      <x:c r="E99" s="2"/>
      <x:c r="F99" s="2"/>
      <x:c r="G99" s="2"/>
      <x:c r="H99" s="2"/>
      <x:c r="I99" s="2"/>
      <x:c r="J99" s="2"/>
      <x:c r="K99" s="2"/>
      <x:c r="L99" s="2"/>
      <x:c r="M99" s="2"/>
      <x:c r="N99" s="2"/>
      <x:c r="O99" s="2"/>
      <x:c r="P99" s="2"/>
      <x:c r="Q99" s="2"/>
      <x:c r="R99" s="2"/>
      <x:c r="S99" s="2"/>
      <x:c r="T99" s="2"/>
      <x:c r="U99" s="2"/>
      <x:c r="V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pageMargins left="0.7" right="0.7" top="0.75" bottom="0.75" header="0.3" footer="0.3"/>
  <x:tableParts count="1">
    <x:tablePart xmlns:r="http://schemas.openxmlformats.org/officeDocument/2006/relationships" r:id="R3aa13d4059ba48b1"/>
  </x:tableParts>
</x:worksheet>
</file>

<file path=xl/worksheets/sheet4.xml><?xml version="1.0" encoding="utf-8"?>
<x:worksheet xmlns:x="http://schemas.openxmlformats.org/spreadsheetml/2006/main">
  <x:sheetPr>
    <x:tabColor rgb="FF5B9BD5"/>
  </x:sheetPr>
  <x:sheetViews>
    <x:sheetView showGridLines="0" workbookViewId="0">
      <x:pane xSplit="3" ySplit="5" topLeftCell="D6" activePane="bottomRight" state="frozen"/>
    </x:sheetView>
  </x:sheetViews>
  <x:sheetFormatPr defaultRowHeight="15"/>
  <x:cols>
    <x:col min="1" max="1" width="13" hidden="0" customWidth="1"/>
    <x:col min="2" max="2" width="11" hidden="0" customWidth="1"/>
    <x:col min="3" max="3" width="27" hidden="0" customWidth="1"/>
    <x:col min="4" max="4" width="14" hidden="0" customWidth="1"/>
    <x:col min="5" max="5" width="14" hidden="0" customWidth="1"/>
    <x:col min="6" max="6" width="16" hidden="0" customWidth="1"/>
    <x:col min="7" max="7" width="16" hidden="0" customWidth="1"/>
    <x:col min="8" max="8" width="11" hidden="0" customWidth="1"/>
    <x:col min="9" max="9" width="22" hidden="0" customWidth="1"/>
    <x:col min="10" max="10" width="22" hidden="0" customWidth="1"/>
    <x:col min="11" max="11" width="32" hidden="0" customWidth="1"/>
    <x:col min="12" max="12" width="18" hidden="0" customWidth="1"/>
    <x:col min="13" max="13" width="12" hidden="0" customWidth="1"/>
    <x:col min="14" max="14" width="32" hidden="0" customWidth="1"/>
    <x:col min="15" max="15" width="14" hidden="0" customWidth="1"/>
    <x:col min="16" max="16" width="36" hidden="0" customWidth="1"/>
    <x:col min="17" max="17" width="44"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出入口</x:v>
      </x:c>
      <x:c r="B2" s="2"/>
      <x:c r="C2" s="2"/>
      <x:c r="D2" s="2"/>
      <x:c r="E2" s="2"/>
      <x:c r="F2" s="2"/>
      <x:c r="G2" s="2"/>
      <x:c r="H2" s="2"/>
      <x:c r="I2" s="2"/>
      <x:c r="J2" s="2"/>
      <x:c r="K2" s="2"/>
      <x:c r="L2" s="2"/>
      <x:c r="M2" s="2"/>
      <x:c r="N2" s="2"/>
      <x:c r="O2" s="2"/>
      <x:c r="P2" s="2"/>
      <x:c r="Q2" s="2"/>
      <x:c r="R2" s="2"/>
      <x:c r="S2" s="2"/>
      <x:c r="T2" s="2"/>
      <x:c r="U2" s="2"/>
      <x:c r="V2" s="2"/>
    </x:row>
    <x:row r="3">
      <x:c r="A3" s="5" t="str">
        <x:v>“是否启用=否”的异常点不会进入模型。无人车可通行仍需物业或现场核验。</x:v>
      </x:c>
      <x:c r="B3" s="4"/>
      <x:c r="C3" s="4"/>
      <x:c r="D3" s="4"/>
      <x:c r="E3" s="4"/>
      <x:c r="F3" s="4"/>
      <x:c r="G3" s="4"/>
      <x:c r="H3" s="4"/>
      <x:c r="I3" s="4"/>
      <x:c r="J3" s="4"/>
      <x:c r="K3" s="4"/>
      <x:c r="L3" s="4"/>
      <x:c r="M3" s="4"/>
      <x:c r="N3" s="4"/>
      <x:c r="O3" s="4"/>
      <x:c r="P3" s="4"/>
      <x:c r="Q3" s="4"/>
      <x:c r="R3" s="2"/>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x:c r="A5" s="14" t="str">
        <x:v>出入口ID</x:v>
      </x:c>
      <x:c r="B5" s="15" t="str">
        <x:v>社区ID</x:v>
      </x:c>
      <x:c r="C5" s="15" t="str">
        <x:v>名称</x:v>
      </x:c>
      <x:c r="D5" s="15" t="str">
        <x:v>经度WGS84</x:v>
      </x:c>
      <x:c r="E5" s="15" t="str">
        <x:v>纬度WGS84</x:v>
      </x:c>
      <x:c r="F5" s="15" t="str">
        <x:v>类型</x:v>
      </x:c>
      <x:c r="G5" s="15" t="str">
        <x:v>无人车可通行</x:v>
      </x:c>
      <x:c r="H5" s="15" t="str">
        <x:v>门宽m</x:v>
      </x:c>
      <x:c r="I5" s="15" t="str">
        <x:v>开放时间</x:v>
      </x:c>
      <x:c r="J5" s="15" t="str">
        <x:v>门禁方式</x:v>
      </x:c>
      <x:c r="K5" s="15" t="str">
        <x:v>外部装卸条件</x:v>
      </x:c>
      <x:c r="L5" s="15" t="str">
        <x:v>连接路网节点ID</x:v>
      </x:c>
      <x:c r="M5" s="15" t="str">
        <x:v>是否启用</x:v>
      </x:c>
      <x:c r="N5" s="15" t="str">
        <x:v>数据状态</x:v>
      </x:c>
      <x:c r="O5" s="15" t="str">
        <x:v>可信度</x:v>
      </x:c>
      <x:c r="P5" s="15" t="str">
        <x:v>来源</x:v>
      </x:c>
      <x:c r="Q5" s="16" t="str">
        <x:v>来源链接</x:v>
      </x:c>
      <x:c r="R5" s="2"/>
      <x:c r="S5" s="2"/>
      <x:c r="T5" s="2"/>
      <x:c r="U5" s="2"/>
      <x:c r="V5" s="2"/>
    </x:row>
    <x:row r="6" ht="52" customHeight="1">
      <x:c r="A6" s="38" t="str">
        <x:v>C01-G01</x:v>
      </x:c>
      <x:c r="B6" s="38" t="str">
        <x:v>C01</x:v>
      </x:c>
      <x:c r="C6" s="38" t="str">
        <x:v>东门（主入口）</x:v>
      </x:c>
      <x:c r="D6" s="48" t="n">
        <x:v>116.485543</x:v>
      </x:c>
      <x:c r="E6" s="48" t="n">
        <x:v>39.799362</x:v>
      </x:c>
      <x:c r="F6" s="38" t="str">
        <x:v>人车混合</x:v>
      </x:c>
      <x:c r="G6" s="38" t="str">
        <x:v>待核验</x:v>
      </x:c>
      <x:c r="H6" s="49" t="n">
        <x:v>6</x:v>
      </x:c>
      <x:c r="I6" s="38" t="str">
        <x:v>06:00—23:00</x:v>
      </x:c>
      <x:c r="J6" s="38" t="str">
        <x:v>道闸（车牌识别）</x:v>
      </x:c>
      <x:c r="K6" s="38" t="str">
        <x:v>可临停（天华西路路侧临时停靠，待核）</x:v>
      </x:c>
      <x:c r="L6" s="38" t="str">
        <x:v>C01-R035</x:v>
      </x:c>
      <x:c r="M6" s="38" t="str">
        <x:v>是</x:v>
      </x:c>
      <x:c r="N6" s="38" t="str">
        <x:v>推定</x:v>
      </x:c>
      <x:c r="O6" s="38" t="str">
        <x:v>中低</x:v>
      </x:c>
      <x:c r="P6" s="38" t="str">
        <x:v>原始社区数据表</x:v>
      </x:c>
      <x:c r="Q6" s="38" t="str"/>
      <x:c r="R6" s="2"/>
      <x:c r="S6" s="2"/>
      <x:c r="T6" s="2"/>
      <x:c r="U6" s="2"/>
      <x:c r="V6" s="2"/>
    </x:row>
    <x:row r="7" ht="52" customHeight="1">
      <x:c r="A7" s="38" t="str">
        <x:v>C01-G02</x:v>
      </x:c>
      <x:c r="B7" s="38" t="str">
        <x:v>C01</x:v>
      </x:c>
      <x:c r="C7" s="38" t="str">
        <x:v>东北侧人行便门</x:v>
      </x:c>
      <x:c r="D7" s="48" t="n">
        <x:v>116.485123</x:v>
      </x:c>
      <x:c r="E7" s="48" t="n">
        <x:v>39.799922</x:v>
      </x:c>
      <x:c r="F7" s="38" t="str">
        <x:v>人行</x:v>
      </x:c>
      <x:c r="G7" s="38" t="str">
        <x:v>待核验</x:v>
      </x:c>
      <x:c r="H7" s="49" t="n">
        <x:v>2.2</x:v>
      </x:c>
      <x:c r="I7" s="38" t="str">
        <x:v>06:00—23:00</x:v>
      </x:c>
      <x:c r="J7" s="38" t="str">
        <x:v>刷卡/人脸识别</x:v>
      </x:c>
      <x:c r="K7" s="38" t="str">
        <x:v>不可临停</x:v>
      </x:c>
      <x:c r="L7" s="38" t="str">
        <x:v>C01-R027</x:v>
      </x:c>
      <x:c r="M7" s="38" t="str">
        <x:v>是</x:v>
      </x:c>
      <x:c r="N7" s="38" t="str">
        <x:v>推定</x:v>
      </x:c>
      <x:c r="O7" s="38" t="str">
        <x:v>中低</x:v>
      </x:c>
      <x:c r="P7" s="38" t="str">
        <x:v>原始社区数据表</x:v>
      </x:c>
      <x:c r="Q7" s="38" t="str"/>
      <x:c r="R7" s="2"/>
      <x:c r="S7" s="2"/>
      <x:c r="T7" s="2"/>
      <x:c r="U7" s="2"/>
      <x:c r="V7" s="2"/>
    </x:row>
    <x:row r="8" ht="52" customHeight="1">
      <x:c r="A8" s="38" t="str">
        <x:v>C02-G01</x:v>
      </x:c>
      <x:c r="B8" s="38" t="str">
        <x:v>C02</x:v>
      </x:c>
      <x:c r="C8" s="38" t="str">
        <x:v>北门（主入口）</x:v>
      </x:c>
      <x:c r="D8" s="48" t="n">
        <x:v>116.494194</x:v>
      </x:c>
      <x:c r="E8" s="48" t="n">
        <x:v>39.80016</x:v>
      </x:c>
      <x:c r="F8" s="38" t="str">
        <x:v>人车混合</x:v>
      </x:c>
      <x:c r="G8" s="38" t="str">
        <x:v>待核验</x:v>
      </x:c>
      <x:c r="H8" s="49" t="n">
        <x:v>7</x:v>
      </x:c>
      <x:c r="I8" s="38" t="str">
        <x:v>00:00—24:00</x:v>
      </x:c>
      <x:c r="J8" s="38" t="str">
        <x:v>道闸 + 门岗</x:v>
      </x:c>
      <x:c r="K8" s="38" t="str">
        <x:v>可临停（天华北街路侧临时停靠，待核）</x:v>
      </x:c>
      <x:c r="L8" s="38" t="str">
        <x:v>C02-R005</x:v>
      </x:c>
      <x:c r="M8" s="38" t="str">
        <x:v>是</x:v>
      </x:c>
      <x:c r="N8" s="38" t="str">
        <x:v>推定</x:v>
      </x:c>
      <x:c r="O8" s="38" t="str">
        <x:v>中低</x:v>
      </x:c>
      <x:c r="P8" s="38" t="str">
        <x:v>原始社区数据表</x:v>
      </x:c>
      <x:c r="Q8" s="38" t="str"/>
      <x:c r="R8" s="2"/>
      <x:c r="S8" s="2"/>
      <x:c r="T8" s="2"/>
      <x:c r="U8" s="2"/>
      <x:c r="V8" s="2"/>
    </x:row>
    <x:row r="9" ht="52" customHeight="1">
      <x:c r="A9" s="38" t="str">
        <x:v>C02-G02</x:v>
      </x:c>
      <x:c r="B9" s="38" t="str">
        <x:v>C02</x:v>
      </x:c>
      <x:c r="C9" s="38" t="str">
        <x:v>西门</x:v>
      </x:c>
      <x:c r="D9" s="48" t="n">
        <x:v>116.492579</x:v>
      </x:c>
      <x:c r="E9" s="48" t="n">
        <x:v>39.799023</x:v>
      </x:c>
      <x:c r="F9" s="38" t="str">
        <x:v>人车混合</x:v>
      </x:c>
      <x:c r="G9" s="38" t="str">
        <x:v>待核验</x:v>
      </x:c>
      <x:c r="H9" s="49" t="n">
        <x:v>6</x:v>
      </x:c>
      <x:c r="I9" s="38" t="str">
        <x:v>00:00—24:00</x:v>
      </x:c>
      <x:c r="J9" s="38" t="str">
        <x:v>道闸</x:v>
      </x:c>
      <x:c r="K9" s="38" t="str">
        <x:v>可临停（待核）</x:v>
      </x:c>
      <x:c r="L9" s="38" t="str">
        <x:v>C02-R024</x:v>
      </x:c>
      <x:c r="M9" s="38" t="str">
        <x:v>是</x:v>
      </x:c>
      <x:c r="N9" s="38" t="str">
        <x:v>推定</x:v>
      </x:c>
      <x:c r="O9" s="38" t="str">
        <x:v>中低</x:v>
      </x:c>
      <x:c r="P9" s="38" t="str">
        <x:v>原始社区数据表</x:v>
      </x:c>
      <x:c r="Q9" s="38" t="str"/>
      <x:c r="R9" s="2"/>
      <x:c r="S9" s="2"/>
      <x:c r="T9" s="2"/>
      <x:c r="U9" s="2"/>
      <x:c r="V9" s="2"/>
    </x:row>
    <x:row r="10" ht="52" customHeight="1">
      <x:c r="A10" s="38" t="str">
        <x:v>C02-G03</x:v>
      </x:c>
      <x:c r="B10" s="38" t="str">
        <x:v>C02</x:v>
      </x:c>
      <x:c r="C10" s="38" t="str">
        <x:v>东南门</x:v>
      </x:c>
      <x:c r="D10" s="48" t="n">
        <x:v>116.495151</x:v>
      </x:c>
      <x:c r="E10" s="48" t="n">
        <x:v>39.796539</x:v>
      </x:c>
      <x:c r="F10" s="38" t="str">
        <x:v>人行</x:v>
      </x:c>
      <x:c r="G10" s="38" t="str">
        <x:v>待核验</x:v>
      </x:c>
      <x:c r="H10" s="49" t="n">
        <x:v>2.5</x:v>
      </x:c>
      <x:c r="I10" s="38" t="str">
        <x:v>06:00—23:00</x:v>
      </x:c>
      <x:c r="J10" s="38" t="str">
        <x:v>刷卡</x:v>
      </x:c>
      <x:c r="K10" s="38" t="str">
        <x:v>不可临停</x:v>
      </x:c>
      <x:c r="L10" s="38" t="str">
        <x:v>C02-R060</x:v>
      </x:c>
      <x:c r="M10" s="38" t="str">
        <x:v>是</x:v>
      </x:c>
      <x:c r="N10" s="38" t="str">
        <x:v>推定</x:v>
      </x:c>
      <x:c r="O10" s="38" t="str">
        <x:v>中低</x:v>
      </x:c>
      <x:c r="P10" s="38" t="str">
        <x:v>原始社区数据表</x:v>
      </x:c>
      <x:c r="Q10" s="38" t="str"/>
      <x:c r="R10" s="2"/>
      <x:c r="S10" s="2"/>
      <x:c r="T10" s="2"/>
      <x:c r="U10" s="2"/>
      <x:c r="V10" s="2"/>
    </x:row>
    <x:row r="11" ht="52" customHeight="1">
      <x:c r="A11" s="38" t="str">
        <x:v>C03-G01</x:v>
      </x:c>
      <x:c r="B11" s="38" t="str">
        <x:v>C03</x:v>
      </x:c>
      <x:c r="C11" s="38" t="str">
        <x:v>东北门</x:v>
      </x:c>
      <x:c r="D11" s="48" t="n">
        <x:v>116.49143</x:v>
      </x:c>
      <x:c r="E11" s="48" t="n">
        <x:v>39.803449</x:v>
      </x:c>
      <x:c r="F11" s="38" t="str">
        <x:v>人车混合</x:v>
      </x:c>
      <x:c r="G11" s="38" t="str">
        <x:v>待核验</x:v>
      </x:c>
      <x:c r="H11" s="49" t="n">
        <x:v>6</x:v>
      </x:c>
      <x:c r="I11" s="38" t="str">
        <x:v>00:00—24:00</x:v>
      </x:c>
      <x:c r="J11" s="38" t="str">
        <x:v>道闸 + 门岗</x:v>
      </x:c>
      <x:c r="K11" s="38" t="str">
        <x:v>可临停（天华东路/天华北路侧，待核）</x:v>
      </x:c>
      <x:c r="L11" s="38" t="str">
        <x:v>C03-R144</x:v>
      </x:c>
      <x:c r="M11" s="38" t="str">
        <x:v>是</x:v>
      </x:c>
      <x:c r="N11" s="38" t="str">
        <x:v>现有（地图POI）</x:v>
      </x:c>
      <x:c r="O11" s="38" t="str">
        <x:v>中</x:v>
      </x:c>
      <x:c r="P11" s="38" t="str">
        <x:v>原始社区数据表</x:v>
      </x:c>
      <x:c r="Q11" s="38" t="str"/>
      <x:c r="R11" s="2"/>
      <x:c r="S11" s="2"/>
      <x:c r="T11" s="2"/>
      <x:c r="U11" s="2"/>
      <x:c r="V11" s="2"/>
    </x:row>
    <x:row r="12" ht="52" customHeight="1">
      <x:c r="A12" s="38" t="str">
        <x:v>C03-G02</x:v>
      </x:c>
      <x:c r="B12" s="38" t="str">
        <x:v>C03</x:v>
      </x:c>
      <x:c r="C12" s="38" t="str">
        <x:v>东门（主入口，车辆入口）</x:v>
      </x:c>
      <x:c r="D12" s="48" t="n">
        <x:v>116.491895</x:v>
      </x:c>
      <x:c r="E12" s="48" t="n">
        <x:v>39.80311</x:v>
      </x:c>
      <x:c r="F12" s="38" t="str">
        <x:v>人车混合</x:v>
      </x:c>
      <x:c r="G12" s="38" t="str">
        <x:v>待核验</x:v>
      </x:c>
      <x:c r="H12" s="49" t="n">
        <x:v>6</x:v>
      </x:c>
      <x:c r="I12" s="38" t="str">
        <x:v>06:00—23:00（待核）</x:v>
      </x:c>
      <x:c r="J12" s="38" t="str">
        <x:v>道闸（车牌识别）</x:v>
      </x:c>
      <x:c r="K12" s="38" t="str">
        <x:v>可临停（待核）</x:v>
      </x:c>
      <x:c r="L12" s="38" t="str">
        <x:v>C03-R144</x:v>
      </x:c>
      <x:c r="M12" s="38" t="str">
        <x:v>是</x:v>
      </x:c>
      <x:c r="N12" s="38" t="str">
        <x:v>推定（管委会宿舍：车辆从东门进）</x:v>
      </x:c>
      <x:c r="O12" s="38" t="str">
        <x:v>中低</x:v>
      </x:c>
      <x:c r="P12" s="38" t="str">
        <x:v>原始社区数据表</x:v>
      </x:c>
      <x:c r="Q12" s="38" t="str"/>
      <x:c r="R12" s="2"/>
      <x:c r="S12" s="2"/>
      <x:c r="T12" s="2"/>
      <x:c r="U12" s="2"/>
      <x:c r="V12" s="2"/>
    </x:row>
    <x:row r="13" ht="52" customHeight="1">
      <x:c r="A13" s="38" t="str">
        <x:v>C03-G03</x:v>
      </x:c>
      <x:c r="B13" s="38" t="str">
        <x:v>C03</x:v>
      </x:c>
      <x:c r="C13" s="38" t="str">
        <x:v>西门/人行便门（OSM 门禁点）</x:v>
      </x:c>
      <x:c r="D13" s="48" t="n">
        <x:v>116.493755</x:v>
      </x:c>
      <x:c r="E13" s="48" t="n">
        <x:v>39.799959</x:v>
      </x:c>
      <x:c r="F13" s="38" t="str">
        <x:v>人行</x:v>
      </x:c>
      <x:c r="G13" s="38" t="str">
        <x:v>否</x:v>
      </x:c>
      <x:c r="H13" s="49" t="n">
        <x:v>2.2</x:v>
      </x:c>
      <x:c r="I13" s="38" t="str">
        <x:v>06:00—23:00</x:v>
      </x:c>
      <x:c r="J13" s="38" t="str">
        <x:v>刷卡/门禁</x:v>
      </x:c>
      <x:c r="K13" s="38" t="str">
        <x:v>不可临停</x:v>
      </x:c>
      <x:c r="L13" s="38"/>
      <x:c r="M13" s="38" t="str">
        <x:v>否</x:v>
      </x:c>
      <x:c r="N13" s="38" t="str">
        <x:v>清洗停用：坐标误落鹿鸣苑</x:v>
      </x:c>
      <x:c r="O13" s="38" t="str">
        <x:v>中</x:v>
      </x:c>
      <x:c r="P13" s="38" t="str">
        <x:v>原始社区数据表</x:v>
      </x:c>
      <x:c r="Q13" s="38" t="str"/>
      <x:c r="R13" s="2"/>
      <x:c r="S13" s="2"/>
      <x:c r="T13" s="2"/>
      <x:c r="U13" s="2"/>
      <x:c r="V13" s="2"/>
    </x:row>
    <x:row r="14" ht="52" customHeight="1">
      <x:c r="A14" s="38" t="str">
        <x:v>C04-G01</x:v>
      </x:c>
      <x:c r="B14" s="38" t="str">
        <x:v>C04</x:v>
      </x:c>
      <x:c r="C14" s="38" t="str">
        <x:v>东侧主入口（情景）</x:v>
      </x:c>
      <x:c r="D14" s="48" t="n">
        <x:v>116.5063436</x:v>
      </x:c>
      <x:c r="E14" s="48" t="n">
        <x:v>39.7626874</x:v>
      </x:c>
      <x:c r="F14" s="38" t="str">
        <x:v>人车混合</x:v>
      </x:c>
      <x:c r="G14" s="38" t="str">
        <x:v>待核验</x:v>
      </x:c>
      <x:c r="H14" s="49" t="n">
        <x:v>6</x:v>
      </x:c>
      <x:c r="I14" s="38" t="str">
        <x:v>06:00—23:00（待核）</x:v>
      </x:c>
      <x:c r="J14" s="38" t="str">
        <x:v>道闸（待核）</x:v>
      </x:c>
      <x:c r="K14" s="38" t="str">
        <x:v>可临停（待核）</x:v>
      </x:c>
      <x:c r="L14" s="38" t="str">
        <x:v>C04-R001</x:v>
      </x:c>
      <x:c r="M14" s="38" t="str">
        <x:v>是</x:v>
      </x:c>
      <x:c r="N14" s="38" t="str">
        <x:v>OSM边界推定</x:v>
      </x:c>
      <x:c r="O14" s="38" t="str">
        <x:v>低</x:v>
      </x:c>
      <x:c r="P14" s="38" t="str">
        <x:v>OSM way 234410624；入口方向待现场核验</x:v>
      </x:c>
      <x:c r="Q14" s="38" t="str">
        <x:v>https://www.openstreetmap.org/way/234410624</x:v>
      </x:c>
      <x:c r="R14" s="2"/>
      <x:c r="S14" s="2"/>
      <x:c r="T14" s="2"/>
      <x:c r="U14" s="2"/>
      <x:c r="V14" s="2"/>
    </x:row>
    <x:row r="15" ht="52" customHeight="1">
      <x:c r="A15" s="38" t="str">
        <x:v>C04-G02</x:v>
      </x:c>
      <x:c r="B15" s="38" t="str">
        <x:v>C04</x:v>
      </x:c>
      <x:c r="C15" s="38" t="str">
        <x:v>北侧入口（情景）</x:v>
      </x:c>
      <x:c r="D15" s="48" t="n">
        <x:v>116.5036026</x:v>
      </x:c>
      <x:c r="E15" s="48" t="n">
        <x:v>39.7634032</x:v>
      </x:c>
      <x:c r="F15" s="38" t="str">
        <x:v>人车混合</x:v>
      </x:c>
      <x:c r="G15" s="38" t="str">
        <x:v>待核验</x:v>
      </x:c>
      <x:c r="H15" s="49" t="n">
        <x:v>4</x:v>
      </x:c>
      <x:c r="I15" s="38" t="str">
        <x:v>06:00—23:00（待核）</x:v>
      </x:c>
      <x:c r="J15" s="38" t="str">
        <x:v>待核</x:v>
      </x:c>
      <x:c r="K15" s="38" t="str">
        <x:v>待核</x:v>
      </x:c>
      <x:c r="L15" s="38" t="str">
        <x:v>C04-R002</x:v>
      </x:c>
      <x:c r="M15" s="38" t="str">
        <x:v>是</x:v>
      </x:c>
      <x:c r="N15" s="38" t="str">
        <x:v>OSM边界推定</x:v>
      </x:c>
      <x:c r="O15" s="38" t="str">
        <x:v>低</x:v>
      </x:c>
      <x:c r="P15" s="38" t="str">
        <x:v>OSM边界北侧接近凉水河二街</x:v>
      </x:c>
      <x:c r="Q15" s="38" t="str">
        <x:v>https://www.openstreetmap.org/way/234410624</x:v>
      </x:c>
      <x:c r="R15" s="2"/>
      <x:c r="S15" s="2"/>
      <x:c r="T15" s="2"/>
      <x:c r="U15" s="2"/>
      <x:c r="V15" s="2"/>
    </x:row>
    <x:row r="16" ht="52" customHeight="1">
      <x:c r="A16" s="38" t="str">
        <x:v>C05-G01</x:v>
      </x:c>
      <x:c r="B16" s="38" t="str">
        <x:v>C05</x:v>
      </x:c>
      <x:c r="C16" s="38" t="str">
        <x:v>东门</x:v>
      </x:c>
      <x:c r="D16" s="48" t="n">
        <x:v>116.4873425</x:v>
      </x:c>
      <x:c r="E16" s="48" t="n">
        <x:v>39.797086</x:v>
      </x:c>
      <x:c r="F16" s="38" t="str">
        <x:v>人车混合</x:v>
      </x:c>
      <x:c r="G16" s="38" t="str">
        <x:v>待核验</x:v>
      </x:c>
      <x:c r="H16" s="49" t="n">
        <x:v>6</x:v>
      </x:c>
      <x:c r="I16" s="38" t="str">
        <x:v>常态开放时间待核</x:v>
      </x:c>
      <x:c r="J16" s="38" t="str">
        <x:v>门岗/道闸（待核）</x:v>
      </x:c>
      <x:c r="K16" s="38" t="str">
        <x:v>2022年曾在入口布置快递货架</x:v>
      </x:c>
      <x:c r="L16" s="38" t="str">
        <x:v>C05-R001</x:v>
      </x:c>
      <x:c r="M16" s="38" t="str">
        <x:v>是</x:v>
      </x:c>
      <x:c r="N16" s="38" t="str">
        <x:v>官方确认东门+OSM边界定位</x:v>
      </x:c>
      <x:c r="O16" s="38" t="str">
        <x:v>中</x:v>
      </x:c>
      <x:c r="P16" s="38" t="str">
        <x:v>经开区官方报道；OSM way 234418243</x:v>
      </x:c>
      <x:c r="Q16" s="38" t="str">
        <x:v>https://kfqgw.beijing.gov.cn/zwgkkfq/ztzl/fkyqbjjkqzxdkfq/rdxwkfq/202206/t20220622_4228063.html</x:v>
      </x:c>
      <x:c r="R16" s="2"/>
      <x:c r="S16" s="2"/>
      <x:c r="T16" s="2"/>
      <x:c r="U16" s="2"/>
      <x:c r="V16" s="2"/>
    </x:row>
    <x:row r="17" ht="52" customHeight="1">
      <x:c r="A17" s="38" t="str">
        <x:v>C05-G02</x:v>
      </x:c>
      <x:c r="B17" s="38" t="str">
        <x:v>C05</x:v>
      </x:c>
      <x:c r="C17" s="38" t="str">
        <x:v>西门</x:v>
      </x:c>
      <x:c r="D17" s="48" t="n">
        <x:v>116.4823603</x:v>
      </x:c>
      <x:c r="E17" s="48" t="n">
        <x:v>39.7966962</x:v>
      </x:c>
      <x:c r="F17" s="38" t="str">
        <x:v>人车混合</x:v>
      </x:c>
      <x:c r="G17" s="38" t="str">
        <x:v>待核验</x:v>
      </x:c>
      <x:c r="H17" s="49" t="n">
        <x:v>4</x:v>
      </x:c>
      <x:c r="I17" s="38" t="str">
        <x:v>待核</x:v>
      </x:c>
      <x:c r="J17" s="38" t="str">
        <x:v>待核</x:v>
      </x:c>
      <x:c r="K17" s="38" t="str">
        <x:v>待核</x:v>
      </x:c>
      <x:c r="L17" s="38" t="str">
        <x:v>C05-R002</x:v>
      </x:c>
      <x:c r="M17" s="38" t="str">
        <x:v>是</x:v>
      </x:c>
      <x:c r="N17" s="38" t="str">
        <x:v>第三方入口名称+OSM边界定位</x:v>
      </x:c>
      <x:c r="O17" s="38" t="str">
        <x:v>中低</x:v>
      </x:c>
      <x:c r="P17" s="38" t="str">
        <x:v>房天下称东门、西门；西门点位按OSM边界推定</x:v>
      </x:c>
      <x:c r="Q17" s="38" t="str">
        <x:v>https://esf.fang.com/loupan/1010302731/housedetail.htm</x:v>
      </x:c>
      <x:c r="R17" s="2"/>
      <x:c r="S17" s="2"/>
      <x:c r="T17" s="2"/>
      <x:c r="U17" s="2"/>
      <x:c r="V17" s="2"/>
    </x:row>
    <x:row r="18">
      <x:c r="A18" s="2"/>
      <x:c r="B18" s="2"/>
      <x:c r="C18" s="2"/>
      <x:c r="D18" s="2"/>
      <x:c r="E18" s="2"/>
      <x:c r="F18" s="2"/>
      <x:c r="G18" s="2"/>
      <x:c r="H18" s="2"/>
      <x:c r="I18" s="2"/>
      <x:c r="J18" s="2"/>
      <x:c r="K18" s="2"/>
      <x:c r="L18" s="2"/>
      <x:c r="M18" s="2"/>
      <x:c r="N18" s="2"/>
      <x:c r="O18" s="2"/>
      <x:c r="P18" s="2"/>
      <x:c r="Q18" s="2"/>
      <x:c r="R18" s="2"/>
      <x:c r="S18" s="2"/>
      <x:c r="T18" s="2"/>
      <x:c r="U18" s="2"/>
      <x:c r="V18" s="2"/>
    </x:row>
    <x:row r="19">
      <x:c r="A19" s="2"/>
      <x:c r="B19" s="2"/>
      <x:c r="C19" s="2"/>
      <x:c r="D19" s="2"/>
      <x:c r="E19" s="2"/>
      <x:c r="F19" s="2"/>
      <x:c r="G19" s="2"/>
      <x:c r="H19" s="2"/>
      <x:c r="I19" s="2"/>
      <x:c r="J19" s="2"/>
      <x:c r="K19" s="2"/>
      <x:c r="L19" s="2"/>
      <x:c r="M19" s="2"/>
      <x:c r="N19" s="2"/>
      <x:c r="O19" s="2"/>
      <x:c r="P19" s="2"/>
      <x:c r="Q19" s="2"/>
      <x:c r="R19" s="2"/>
      <x:c r="S19" s="2"/>
      <x:c r="T19" s="2"/>
      <x:c r="U19" s="2"/>
      <x:c r="V19" s="2"/>
    </x:row>
    <x:row r="20">
      <x:c r="A20" s="2"/>
      <x:c r="B20" s="2"/>
      <x:c r="C20" s="2"/>
      <x:c r="D20" s="2"/>
      <x:c r="E20" s="2"/>
      <x:c r="F20" s="2"/>
      <x:c r="G20" s="2"/>
      <x:c r="H20" s="2"/>
      <x:c r="I20" s="2"/>
      <x:c r="J20" s="2"/>
      <x:c r="K20" s="2"/>
      <x:c r="L20" s="2"/>
      <x:c r="M20" s="2"/>
      <x:c r="N20" s="2"/>
      <x:c r="O20" s="2"/>
      <x:c r="P20" s="2"/>
      <x:c r="Q20" s="2"/>
      <x:c r="R20" s="2"/>
      <x:c r="S20" s="2"/>
      <x:c r="T20" s="2"/>
      <x:c r="U20" s="2"/>
      <x:c r="V20" s="2"/>
    </x:row>
    <x:row r="21">
      <x:c r="A21" s="2"/>
      <x:c r="B21" s="2"/>
      <x:c r="C21" s="2"/>
      <x:c r="D21" s="2"/>
      <x:c r="E21" s="2"/>
      <x:c r="F21" s="2"/>
      <x:c r="G21" s="2"/>
      <x:c r="H21" s="2"/>
      <x:c r="I21" s="2"/>
      <x:c r="J21" s="2"/>
      <x:c r="K21" s="2"/>
      <x:c r="L21" s="2"/>
      <x:c r="M21" s="2"/>
      <x:c r="N21" s="2"/>
      <x:c r="O21" s="2"/>
      <x:c r="P21" s="2"/>
      <x:c r="Q21" s="2"/>
      <x:c r="R21" s="2"/>
      <x:c r="S21" s="2"/>
      <x:c r="T21" s="2"/>
      <x:c r="U21" s="2"/>
      <x:c r="V21" s="2"/>
    </x:row>
    <x:row r="22">
      <x:c r="A22" s="2"/>
      <x:c r="B22" s="2"/>
      <x:c r="C22" s="2"/>
      <x:c r="D22" s="2"/>
      <x:c r="E22" s="2"/>
      <x:c r="F22" s="2"/>
      <x:c r="G22" s="2"/>
      <x:c r="H22" s="2"/>
      <x:c r="I22" s="2"/>
      <x:c r="J22" s="2"/>
      <x:c r="K22" s="2"/>
      <x:c r="L22" s="2"/>
      <x:c r="M22" s="2"/>
      <x:c r="N22" s="2"/>
      <x:c r="O22" s="2"/>
      <x:c r="P22" s="2"/>
      <x:c r="Q22" s="2"/>
      <x:c r="R22" s="2"/>
      <x:c r="S22" s="2"/>
      <x:c r="T22" s="2"/>
      <x:c r="U22" s="2"/>
      <x:c r="V22" s="2"/>
    </x:row>
    <x:row r="23">
      <x:c r="A23" s="2"/>
      <x:c r="B23" s="2"/>
      <x:c r="C23" s="2"/>
      <x:c r="D23" s="2"/>
      <x:c r="E23" s="2"/>
      <x:c r="F23" s="2"/>
      <x:c r="G23" s="2"/>
      <x:c r="H23" s="2"/>
      <x:c r="I23" s="2"/>
      <x:c r="J23" s="2"/>
      <x:c r="K23" s="2"/>
      <x:c r="L23" s="2"/>
      <x:c r="M23" s="2"/>
      <x:c r="N23" s="2"/>
      <x:c r="O23" s="2"/>
      <x:c r="P23" s="2"/>
      <x:c r="Q23" s="2"/>
      <x:c r="R23" s="2"/>
      <x:c r="S23" s="2"/>
      <x:c r="T23" s="2"/>
      <x:c r="U23" s="2"/>
      <x:c r="V23" s="2"/>
    </x:row>
    <x:row r="24">
      <x:c r="A24" s="2"/>
      <x:c r="B24" s="2"/>
      <x:c r="C24" s="2"/>
      <x:c r="D24" s="2"/>
      <x:c r="E24" s="2"/>
      <x:c r="F24" s="2"/>
      <x:c r="G24" s="2"/>
      <x:c r="H24" s="2"/>
      <x:c r="I24" s="2"/>
      <x:c r="J24" s="2"/>
      <x:c r="K24" s="2"/>
      <x:c r="L24" s="2"/>
      <x:c r="M24" s="2"/>
      <x:c r="N24" s="2"/>
      <x:c r="O24" s="2"/>
      <x:c r="P24" s="2"/>
      <x:c r="Q24" s="2"/>
      <x:c r="R24" s="2"/>
      <x:c r="S24" s="2"/>
      <x:c r="T24" s="2"/>
      <x:c r="U24" s="2"/>
      <x:c r="V24" s="2"/>
    </x:row>
    <x:row r="25">
      <x:c r="A25" s="2"/>
      <x:c r="B25" s="2"/>
      <x:c r="C25" s="2"/>
      <x:c r="D25" s="2"/>
      <x:c r="E25" s="2"/>
      <x:c r="F25" s="2"/>
      <x:c r="G25" s="2"/>
      <x:c r="H25" s="2"/>
      <x:c r="I25" s="2"/>
      <x:c r="J25" s="2"/>
      <x:c r="K25" s="2"/>
      <x:c r="L25" s="2"/>
      <x:c r="M25" s="2"/>
      <x:c r="N25" s="2"/>
      <x:c r="O25" s="2"/>
      <x:c r="P25" s="2"/>
      <x:c r="Q25" s="2"/>
      <x:c r="R25" s="2"/>
      <x:c r="S25" s="2"/>
      <x:c r="T25" s="2"/>
      <x:c r="U25" s="2"/>
      <x:c r="V25" s="2"/>
    </x:row>
    <x:row r="26">
      <x:c r="A26" s="2"/>
      <x:c r="B26" s="2"/>
      <x:c r="C26" s="2"/>
      <x:c r="D26" s="2"/>
      <x:c r="E26" s="2"/>
      <x:c r="F26" s="2"/>
      <x:c r="G26" s="2"/>
      <x:c r="H26" s="2"/>
      <x:c r="I26" s="2"/>
      <x:c r="J26" s="2"/>
      <x:c r="K26" s="2"/>
      <x:c r="L26" s="2"/>
      <x:c r="M26" s="2"/>
      <x:c r="N26" s="2"/>
      <x:c r="O26" s="2"/>
      <x:c r="P26" s="2"/>
      <x:c r="Q26" s="2"/>
      <x:c r="R26" s="2"/>
      <x:c r="S26" s="2"/>
      <x:c r="T26" s="2"/>
      <x:c r="U26" s="2"/>
      <x:c r="V26" s="2"/>
    </x:row>
    <x:row r="27">
      <x:c r="A27" s="2"/>
      <x:c r="B27" s="2"/>
      <x:c r="C27" s="2"/>
      <x:c r="D27" s="2"/>
      <x:c r="E27" s="2"/>
      <x:c r="F27" s="2"/>
      <x:c r="G27" s="2"/>
      <x:c r="H27" s="2"/>
      <x:c r="I27" s="2"/>
      <x:c r="J27" s="2"/>
      <x:c r="K27" s="2"/>
      <x:c r="L27" s="2"/>
      <x:c r="M27" s="2"/>
      <x:c r="N27" s="2"/>
      <x:c r="O27" s="2"/>
      <x:c r="P27" s="2"/>
      <x:c r="Q27" s="2"/>
      <x:c r="R27" s="2"/>
      <x:c r="S27" s="2"/>
      <x:c r="T27" s="2"/>
      <x:c r="U27" s="2"/>
      <x:c r="V27" s="2"/>
    </x:row>
    <x:row r="28">
      <x:c r="A28" s="2"/>
      <x:c r="B28" s="2"/>
      <x:c r="C28" s="2"/>
      <x:c r="D28" s="2"/>
      <x:c r="E28" s="2"/>
      <x:c r="F28" s="2"/>
      <x:c r="G28" s="2"/>
      <x:c r="H28" s="2"/>
      <x:c r="I28" s="2"/>
      <x:c r="J28" s="2"/>
      <x:c r="K28" s="2"/>
      <x:c r="L28" s="2"/>
      <x:c r="M28" s="2"/>
      <x:c r="N28" s="2"/>
      <x:c r="O28" s="2"/>
      <x:c r="P28" s="2"/>
      <x:c r="Q28" s="2"/>
      <x:c r="R28" s="2"/>
      <x:c r="S28" s="2"/>
      <x:c r="T28" s="2"/>
      <x:c r="U28" s="2"/>
      <x:c r="V28" s="2"/>
    </x:row>
    <x:row r="29">
      <x:c r="A29" s="2"/>
      <x:c r="B29" s="2"/>
      <x:c r="C29" s="2"/>
      <x:c r="D29" s="2"/>
      <x:c r="E29" s="2"/>
      <x:c r="F29" s="2"/>
      <x:c r="G29" s="2"/>
      <x:c r="H29" s="2"/>
      <x:c r="I29" s="2"/>
      <x:c r="J29" s="2"/>
      <x:c r="K29" s="2"/>
      <x:c r="L29" s="2"/>
      <x:c r="M29" s="2"/>
      <x:c r="N29" s="2"/>
      <x:c r="O29" s="2"/>
      <x:c r="P29" s="2"/>
      <x:c r="Q29" s="2"/>
      <x:c r="R29" s="2"/>
      <x:c r="S29" s="2"/>
      <x:c r="T29" s="2"/>
      <x:c r="U29" s="2"/>
      <x:c r="V29" s="2"/>
    </x:row>
    <x:row r="30">
      <x:c r="A30" s="2"/>
      <x:c r="B30" s="2"/>
      <x:c r="C30" s="2"/>
      <x:c r="D30" s="2"/>
      <x:c r="E30" s="2"/>
      <x:c r="F30" s="2"/>
      <x:c r="G30" s="2"/>
      <x:c r="H30" s="2"/>
      <x:c r="I30" s="2"/>
      <x:c r="J30" s="2"/>
      <x:c r="K30" s="2"/>
      <x:c r="L30" s="2"/>
      <x:c r="M30" s="2"/>
      <x:c r="N30" s="2"/>
      <x:c r="O30" s="2"/>
      <x:c r="P30" s="2"/>
      <x:c r="Q30" s="2"/>
      <x:c r="R30" s="2"/>
      <x:c r="S30" s="2"/>
      <x:c r="T30" s="2"/>
      <x:c r="U30" s="2"/>
      <x:c r="V30" s="2"/>
    </x:row>
    <x:row r="31">
      <x:c r="A31" s="2"/>
      <x:c r="B31" s="2"/>
      <x:c r="C31" s="2"/>
      <x:c r="D31" s="2"/>
      <x:c r="E31" s="2"/>
      <x:c r="F31" s="2"/>
      <x:c r="G31" s="2"/>
      <x:c r="H31" s="2"/>
      <x:c r="I31" s="2"/>
      <x:c r="J31" s="2"/>
      <x:c r="K31" s="2"/>
      <x:c r="L31" s="2"/>
      <x:c r="M31" s="2"/>
      <x:c r="N31" s="2"/>
      <x:c r="O31" s="2"/>
      <x:c r="P31" s="2"/>
      <x:c r="Q31" s="2"/>
      <x:c r="R31" s="2"/>
      <x:c r="S31" s="2"/>
      <x:c r="T31" s="2"/>
      <x:c r="U31" s="2"/>
      <x:c r="V31" s="2"/>
    </x:row>
    <x:row r="32">
      <x:c r="A32" s="2"/>
      <x:c r="B32" s="2"/>
      <x:c r="C32" s="2"/>
      <x:c r="D32" s="2"/>
      <x:c r="E32" s="2"/>
      <x:c r="F32" s="2"/>
      <x:c r="G32" s="2"/>
      <x:c r="H32" s="2"/>
      <x:c r="I32" s="2"/>
      <x:c r="J32" s="2"/>
      <x:c r="K32" s="2"/>
      <x:c r="L32" s="2"/>
      <x:c r="M32" s="2"/>
      <x:c r="N32" s="2"/>
      <x:c r="O32" s="2"/>
      <x:c r="P32" s="2"/>
      <x:c r="Q32" s="2"/>
      <x:c r="R32" s="2"/>
      <x:c r="S32" s="2"/>
      <x:c r="T32" s="2"/>
      <x:c r="U32" s="2"/>
      <x:c r="V32" s="2"/>
    </x:row>
    <x:row r="33">
      <x:c r="A33" s="2"/>
      <x:c r="B33" s="2"/>
      <x:c r="C33" s="2"/>
      <x:c r="D33" s="2"/>
      <x:c r="E33" s="2"/>
      <x:c r="F33" s="2"/>
      <x:c r="G33" s="2"/>
      <x:c r="H33" s="2"/>
      <x:c r="I33" s="2"/>
      <x:c r="J33" s="2"/>
      <x:c r="K33" s="2"/>
      <x:c r="L33" s="2"/>
      <x:c r="M33" s="2"/>
      <x:c r="N33" s="2"/>
      <x:c r="O33" s="2"/>
      <x:c r="P33" s="2"/>
      <x:c r="Q33" s="2"/>
      <x:c r="R33" s="2"/>
      <x:c r="S33" s="2"/>
      <x:c r="T33" s="2"/>
      <x:c r="U33" s="2"/>
      <x:c r="V33" s="2"/>
    </x:row>
    <x:row r="34">
      <x:c r="A34" s="2"/>
      <x:c r="B34" s="2"/>
      <x:c r="C34" s="2"/>
      <x:c r="D34" s="2"/>
      <x:c r="E34" s="2"/>
      <x:c r="F34" s="2"/>
      <x:c r="G34" s="2"/>
      <x:c r="H34" s="2"/>
      <x:c r="I34" s="2"/>
      <x:c r="J34" s="2"/>
      <x:c r="K34" s="2"/>
      <x:c r="L34" s="2"/>
      <x:c r="M34" s="2"/>
      <x:c r="N34" s="2"/>
      <x:c r="O34" s="2"/>
      <x:c r="P34" s="2"/>
      <x:c r="Q34" s="2"/>
      <x:c r="R34" s="2"/>
      <x:c r="S34" s="2"/>
      <x:c r="T34" s="2"/>
      <x:c r="U34" s="2"/>
      <x:c r="V34" s="2"/>
    </x:row>
    <x:row r="35">
      <x:c r="A35" s="2"/>
      <x:c r="B35" s="2"/>
      <x:c r="C35" s="2"/>
      <x:c r="D35" s="2"/>
      <x:c r="E35" s="2"/>
      <x:c r="F35" s="2"/>
      <x:c r="G35" s="2"/>
      <x:c r="H35" s="2"/>
      <x:c r="I35" s="2"/>
      <x:c r="J35" s="2"/>
      <x:c r="K35" s="2"/>
      <x:c r="L35" s="2"/>
      <x:c r="M35" s="2"/>
      <x:c r="N35" s="2"/>
      <x:c r="O35" s="2"/>
      <x:c r="P35" s="2"/>
      <x:c r="Q35" s="2"/>
      <x:c r="R35" s="2"/>
      <x:c r="S35" s="2"/>
      <x:c r="T35" s="2"/>
      <x:c r="U35" s="2"/>
      <x:c r="V35" s="2"/>
    </x:row>
    <x:row r="36">
      <x:c r="A36" s="2"/>
      <x:c r="B36" s="2"/>
      <x:c r="C36" s="2"/>
      <x:c r="D36" s="2"/>
      <x:c r="E36" s="2"/>
      <x:c r="F36" s="2"/>
      <x:c r="G36" s="2"/>
      <x:c r="H36" s="2"/>
      <x:c r="I36" s="2"/>
      <x:c r="J36" s="2"/>
      <x:c r="K36" s="2"/>
      <x:c r="L36" s="2"/>
      <x:c r="M36" s="2"/>
      <x:c r="N36" s="2"/>
      <x:c r="O36" s="2"/>
      <x:c r="P36" s="2"/>
      <x:c r="Q36" s="2"/>
      <x:c r="R36" s="2"/>
      <x:c r="S36" s="2"/>
      <x:c r="T36" s="2"/>
      <x:c r="U36" s="2"/>
      <x:c r="V36" s="2"/>
    </x:row>
    <x:row r="37">
      <x:c r="A37" s="2"/>
      <x:c r="B37" s="2"/>
      <x:c r="C37" s="2"/>
      <x:c r="D37" s="2"/>
      <x:c r="E37" s="2"/>
      <x:c r="F37" s="2"/>
      <x:c r="G37" s="2"/>
      <x:c r="H37" s="2"/>
      <x:c r="I37" s="2"/>
      <x:c r="J37" s="2"/>
      <x:c r="K37" s="2"/>
      <x:c r="L37" s="2"/>
      <x:c r="M37" s="2"/>
      <x:c r="N37" s="2"/>
      <x:c r="O37" s="2"/>
      <x:c r="P37" s="2"/>
      <x:c r="Q37" s="2"/>
      <x:c r="R37" s="2"/>
      <x:c r="S37" s="2"/>
      <x:c r="T37" s="2"/>
      <x:c r="U37" s="2"/>
      <x:c r="V37" s="2"/>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row r="66">
      <x:c r="A66" s="2"/>
      <x:c r="B66" s="2"/>
      <x:c r="C66" s="2"/>
      <x:c r="D66" s="2"/>
      <x:c r="E66" s="2"/>
      <x:c r="F66" s="2"/>
      <x:c r="G66" s="2"/>
      <x:c r="H66" s="2"/>
      <x:c r="I66" s="2"/>
      <x:c r="J66" s="2"/>
      <x:c r="K66" s="2"/>
      <x:c r="L66" s="2"/>
      <x:c r="M66" s="2"/>
      <x:c r="N66" s="2"/>
      <x:c r="O66" s="2"/>
      <x:c r="P66" s="2"/>
      <x:c r="Q66" s="2"/>
      <x:c r="R66" s="2"/>
      <x:c r="S66" s="2"/>
      <x:c r="T66" s="2"/>
      <x:c r="U66" s="2"/>
      <x:c r="V66" s="2"/>
    </x:row>
    <x:row r="67">
      <x:c r="A67" s="2"/>
      <x:c r="B67" s="2"/>
      <x:c r="C67" s="2"/>
      <x:c r="D67" s="2"/>
      <x:c r="E67" s="2"/>
      <x:c r="F67" s="2"/>
      <x:c r="G67" s="2"/>
      <x:c r="H67" s="2"/>
      <x:c r="I67" s="2"/>
      <x:c r="J67" s="2"/>
      <x:c r="K67" s="2"/>
      <x:c r="L67" s="2"/>
      <x:c r="M67" s="2"/>
      <x:c r="N67" s="2"/>
      <x:c r="O67" s="2"/>
      <x:c r="P67" s="2"/>
      <x:c r="Q67" s="2"/>
      <x:c r="R67" s="2"/>
      <x:c r="S67" s="2"/>
      <x:c r="T67" s="2"/>
      <x:c r="U67" s="2"/>
      <x:c r="V67" s="2"/>
    </x:row>
    <x:row r="68">
      <x:c r="A68" s="2"/>
      <x:c r="B68" s="2"/>
      <x:c r="C68" s="2"/>
      <x:c r="D68" s="2"/>
      <x:c r="E68" s="2"/>
      <x:c r="F68" s="2"/>
      <x:c r="G68" s="2"/>
      <x:c r="H68" s="2"/>
      <x:c r="I68" s="2"/>
      <x:c r="J68" s="2"/>
      <x:c r="K68" s="2"/>
      <x:c r="L68" s="2"/>
      <x:c r="M68" s="2"/>
      <x:c r="N68" s="2"/>
      <x:c r="O68" s="2"/>
      <x:c r="P68" s="2"/>
      <x:c r="Q68" s="2"/>
      <x:c r="R68" s="2"/>
      <x:c r="S68" s="2"/>
      <x:c r="T68" s="2"/>
      <x:c r="U68" s="2"/>
      <x:c r="V68" s="2"/>
    </x:row>
    <x:row r="69">
      <x:c r="A69" s="2"/>
      <x:c r="B69" s="2"/>
      <x:c r="C69" s="2"/>
      <x:c r="D69" s="2"/>
      <x:c r="E69" s="2"/>
      <x:c r="F69" s="2"/>
      <x:c r="G69" s="2"/>
      <x:c r="H69" s="2"/>
      <x:c r="I69" s="2"/>
      <x:c r="J69" s="2"/>
      <x:c r="K69" s="2"/>
      <x:c r="L69" s="2"/>
      <x:c r="M69" s="2"/>
      <x:c r="N69" s="2"/>
      <x:c r="O69" s="2"/>
      <x:c r="P69" s="2"/>
      <x:c r="Q69" s="2"/>
      <x:c r="R69" s="2"/>
      <x:c r="S69" s="2"/>
      <x:c r="T69" s="2"/>
      <x:c r="U69" s="2"/>
      <x:c r="V69" s="2"/>
    </x:row>
    <x:row r="70">
      <x:c r="A70" s="2"/>
      <x:c r="B70" s="2"/>
      <x:c r="C70" s="2"/>
      <x:c r="D70" s="2"/>
      <x:c r="E70" s="2"/>
      <x:c r="F70" s="2"/>
      <x:c r="G70" s="2"/>
      <x:c r="H70" s="2"/>
      <x:c r="I70" s="2"/>
      <x:c r="J70" s="2"/>
      <x:c r="K70" s="2"/>
      <x:c r="L70" s="2"/>
      <x:c r="M70" s="2"/>
      <x:c r="N70" s="2"/>
      <x:c r="O70" s="2"/>
      <x:c r="P70" s="2"/>
      <x:c r="Q70" s="2"/>
      <x:c r="R70" s="2"/>
      <x:c r="S70" s="2"/>
      <x:c r="T70" s="2"/>
      <x:c r="U70" s="2"/>
      <x:c r="V70" s="2"/>
    </x:row>
    <x:row r="71">
      <x:c r="A71" s="2"/>
      <x:c r="B71" s="2"/>
      <x:c r="C71" s="2"/>
      <x:c r="D71" s="2"/>
      <x:c r="E71" s="2"/>
      <x:c r="F71" s="2"/>
      <x:c r="G71" s="2"/>
      <x:c r="H71" s="2"/>
      <x:c r="I71" s="2"/>
      <x:c r="J71" s="2"/>
      <x:c r="K71" s="2"/>
      <x:c r="L71" s="2"/>
      <x:c r="M71" s="2"/>
      <x:c r="N71" s="2"/>
      <x:c r="O71" s="2"/>
      <x:c r="P71" s="2"/>
      <x:c r="Q71" s="2"/>
      <x:c r="R71" s="2"/>
      <x:c r="S71" s="2"/>
      <x:c r="T71" s="2"/>
      <x:c r="U71" s="2"/>
      <x:c r="V71" s="2"/>
    </x:row>
    <x:row r="72">
      <x:c r="A72" s="2"/>
      <x:c r="B72" s="2"/>
      <x:c r="C72" s="2"/>
      <x:c r="D72" s="2"/>
      <x:c r="E72" s="2"/>
      <x:c r="F72" s="2"/>
      <x:c r="G72" s="2"/>
      <x:c r="H72" s="2"/>
      <x:c r="I72" s="2"/>
      <x:c r="J72" s="2"/>
      <x:c r="K72" s="2"/>
      <x:c r="L72" s="2"/>
      <x:c r="M72" s="2"/>
      <x:c r="N72" s="2"/>
      <x:c r="O72" s="2"/>
      <x:c r="P72" s="2"/>
      <x:c r="Q72" s="2"/>
      <x:c r="R72" s="2"/>
      <x:c r="S72" s="2"/>
      <x:c r="T72" s="2"/>
      <x:c r="U72" s="2"/>
      <x:c r="V72" s="2"/>
    </x:row>
    <x:row r="73">
      <x:c r="A73" s="2"/>
      <x:c r="B73" s="2"/>
      <x:c r="C73" s="2"/>
      <x:c r="D73" s="2"/>
      <x:c r="E73" s="2"/>
      <x:c r="F73" s="2"/>
      <x:c r="G73" s="2"/>
      <x:c r="H73" s="2"/>
      <x:c r="I73" s="2"/>
      <x:c r="J73" s="2"/>
      <x:c r="K73" s="2"/>
      <x:c r="L73" s="2"/>
      <x:c r="M73" s="2"/>
      <x:c r="N73" s="2"/>
      <x:c r="O73" s="2"/>
      <x:c r="P73" s="2"/>
      <x:c r="Q73" s="2"/>
      <x:c r="R73" s="2"/>
      <x:c r="S73" s="2"/>
      <x:c r="T73" s="2"/>
      <x:c r="U73" s="2"/>
      <x:c r="V73" s="2"/>
    </x:row>
    <x:row r="74">
      <x:c r="A74" s="2"/>
      <x:c r="B74" s="2"/>
      <x:c r="C74" s="2"/>
      <x:c r="D74" s="2"/>
      <x:c r="E74" s="2"/>
      <x:c r="F74" s="2"/>
      <x:c r="G74" s="2"/>
      <x:c r="H74" s="2"/>
      <x:c r="I74" s="2"/>
      <x:c r="J74" s="2"/>
      <x:c r="K74" s="2"/>
      <x:c r="L74" s="2"/>
      <x:c r="M74" s="2"/>
      <x:c r="N74" s="2"/>
      <x:c r="O74" s="2"/>
      <x:c r="P74" s="2"/>
      <x:c r="Q74" s="2"/>
      <x:c r="R74" s="2"/>
      <x:c r="S74" s="2"/>
      <x:c r="T74" s="2"/>
      <x:c r="U74" s="2"/>
      <x:c r="V74" s="2"/>
    </x:row>
    <x:row r="75">
      <x:c r="A75" s="2"/>
      <x:c r="B75" s="2"/>
      <x:c r="C75" s="2"/>
      <x:c r="D75" s="2"/>
      <x:c r="E75" s="2"/>
      <x:c r="F75" s="2"/>
      <x:c r="G75" s="2"/>
      <x:c r="H75" s="2"/>
      <x:c r="I75" s="2"/>
      <x:c r="J75" s="2"/>
      <x:c r="K75" s="2"/>
      <x:c r="L75" s="2"/>
      <x:c r="M75" s="2"/>
      <x:c r="N75" s="2"/>
      <x:c r="O75" s="2"/>
      <x:c r="P75" s="2"/>
      <x:c r="Q75" s="2"/>
      <x:c r="R75" s="2"/>
      <x:c r="S75" s="2"/>
      <x:c r="T75" s="2"/>
      <x:c r="U75" s="2"/>
      <x:c r="V75" s="2"/>
    </x:row>
    <x:row r="76">
      <x:c r="A76" s="2"/>
      <x:c r="B76" s="2"/>
      <x:c r="C76" s="2"/>
      <x:c r="D76" s="2"/>
      <x:c r="E76" s="2"/>
      <x:c r="F76" s="2"/>
      <x:c r="G76" s="2"/>
      <x:c r="H76" s="2"/>
      <x:c r="I76" s="2"/>
      <x:c r="J76" s="2"/>
      <x:c r="K76" s="2"/>
      <x:c r="L76" s="2"/>
      <x:c r="M76" s="2"/>
      <x:c r="N76" s="2"/>
      <x:c r="O76" s="2"/>
      <x:c r="P76" s="2"/>
      <x:c r="Q76" s="2"/>
      <x:c r="R76" s="2"/>
      <x:c r="S76" s="2"/>
      <x:c r="T76" s="2"/>
      <x:c r="U76" s="2"/>
      <x:c r="V76" s="2"/>
    </x:row>
    <x:row r="77">
      <x:c r="A77" s="2"/>
      <x:c r="B77" s="2"/>
      <x:c r="C77" s="2"/>
      <x:c r="D77" s="2"/>
      <x:c r="E77" s="2"/>
      <x:c r="F77" s="2"/>
      <x:c r="G77" s="2"/>
      <x:c r="H77" s="2"/>
      <x:c r="I77" s="2"/>
      <x:c r="J77" s="2"/>
      <x:c r="K77" s="2"/>
      <x:c r="L77" s="2"/>
      <x:c r="M77" s="2"/>
      <x:c r="N77" s="2"/>
      <x:c r="O77" s="2"/>
      <x:c r="P77" s="2"/>
      <x:c r="Q77" s="2"/>
      <x:c r="R77" s="2"/>
      <x:c r="S77" s="2"/>
      <x:c r="T77" s="2"/>
      <x:c r="U77" s="2"/>
      <x:c r="V77" s="2"/>
    </x:row>
    <x:row r="78">
      <x:c r="A78" s="2"/>
      <x:c r="B78" s="2"/>
      <x:c r="C78" s="2"/>
      <x:c r="D78" s="2"/>
      <x:c r="E78" s="2"/>
      <x:c r="F78" s="2"/>
      <x:c r="G78" s="2"/>
      <x:c r="H78" s="2"/>
      <x:c r="I78" s="2"/>
      <x:c r="J78" s="2"/>
      <x:c r="K78" s="2"/>
      <x:c r="L78" s="2"/>
      <x:c r="M78" s="2"/>
      <x:c r="N78" s="2"/>
      <x:c r="O78" s="2"/>
      <x:c r="P78" s="2"/>
      <x:c r="Q78" s="2"/>
      <x:c r="R78" s="2"/>
      <x:c r="S78" s="2"/>
      <x:c r="T78" s="2"/>
      <x:c r="U78" s="2"/>
      <x:c r="V78" s="2"/>
    </x:row>
    <x:row r="79">
      <x:c r="A79" s="2"/>
      <x:c r="B79" s="2"/>
      <x:c r="C79" s="2"/>
      <x:c r="D79" s="2"/>
      <x:c r="E79" s="2"/>
      <x:c r="F79" s="2"/>
      <x:c r="G79" s="2"/>
      <x:c r="H79" s="2"/>
      <x:c r="I79" s="2"/>
      <x:c r="J79" s="2"/>
      <x:c r="K79" s="2"/>
      <x:c r="L79" s="2"/>
      <x:c r="M79" s="2"/>
      <x:c r="N79" s="2"/>
      <x:c r="O79" s="2"/>
      <x:c r="P79" s="2"/>
      <x:c r="Q79" s="2"/>
      <x:c r="R79" s="2"/>
      <x:c r="S79" s="2"/>
      <x:c r="T79" s="2"/>
      <x:c r="U79" s="2"/>
      <x:c r="V79" s="2"/>
    </x:row>
    <x:row r="80">
      <x:c r="A80" s="2"/>
      <x:c r="B80" s="2"/>
      <x:c r="C80" s="2"/>
      <x:c r="D80" s="2"/>
      <x:c r="E80" s="2"/>
      <x:c r="F80" s="2"/>
      <x:c r="G80" s="2"/>
      <x:c r="H80" s="2"/>
      <x:c r="I80" s="2"/>
      <x:c r="J80" s="2"/>
      <x:c r="K80" s="2"/>
      <x:c r="L80" s="2"/>
      <x:c r="M80" s="2"/>
      <x:c r="N80" s="2"/>
      <x:c r="O80" s="2"/>
      <x:c r="P80" s="2"/>
      <x:c r="Q80" s="2"/>
      <x:c r="R80" s="2"/>
      <x:c r="S80" s="2"/>
      <x:c r="T80" s="2"/>
      <x:c r="U80" s="2"/>
      <x:c r="V80" s="2"/>
    </x:row>
    <x:row r="81">
      <x:c r="A81" s="2"/>
      <x:c r="B81" s="2"/>
      <x:c r="C81" s="2"/>
      <x:c r="D81" s="2"/>
      <x:c r="E81" s="2"/>
      <x:c r="F81" s="2"/>
      <x:c r="G81" s="2"/>
      <x:c r="H81" s="2"/>
      <x:c r="I81" s="2"/>
      <x:c r="J81" s="2"/>
      <x:c r="K81" s="2"/>
      <x:c r="L81" s="2"/>
      <x:c r="M81" s="2"/>
      <x:c r="N81" s="2"/>
      <x:c r="O81" s="2"/>
      <x:c r="P81" s="2"/>
      <x:c r="Q81" s="2"/>
      <x:c r="R81" s="2"/>
      <x:c r="S81" s="2"/>
      <x:c r="T81" s="2"/>
      <x:c r="U81" s="2"/>
      <x:c r="V81" s="2"/>
    </x:row>
    <x:row r="82">
      <x:c r="A82" s="2"/>
      <x:c r="B82" s="2"/>
      <x:c r="C82" s="2"/>
      <x:c r="D82" s="2"/>
      <x:c r="E82" s="2"/>
      <x:c r="F82" s="2"/>
      <x:c r="G82" s="2"/>
      <x:c r="H82" s="2"/>
      <x:c r="I82" s="2"/>
      <x:c r="J82" s="2"/>
      <x:c r="K82" s="2"/>
      <x:c r="L82" s="2"/>
      <x:c r="M82" s="2"/>
      <x:c r="N82" s="2"/>
      <x:c r="O82" s="2"/>
      <x:c r="P82" s="2"/>
      <x:c r="Q82" s="2"/>
      <x:c r="R82" s="2"/>
      <x:c r="S82" s="2"/>
      <x:c r="T82" s="2"/>
      <x:c r="U82" s="2"/>
      <x:c r="V82" s="2"/>
    </x:row>
    <x:row r="83">
      <x:c r="A83" s="2"/>
      <x:c r="B83" s="2"/>
      <x:c r="C83" s="2"/>
      <x:c r="D83" s="2"/>
      <x:c r="E83" s="2"/>
      <x:c r="F83" s="2"/>
      <x:c r="G83" s="2"/>
      <x:c r="H83" s="2"/>
      <x:c r="I83" s="2"/>
      <x:c r="J83" s="2"/>
      <x:c r="K83" s="2"/>
      <x:c r="L83" s="2"/>
      <x:c r="M83" s="2"/>
      <x:c r="N83" s="2"/>
      <x:c r="O83" s="2"/>
      <x:c r="P83" s="2"/>
      <x:c r="Q83" s="2"/>
      <x:c r="R83" s="2"/>
      <x:c r="S83" s="2"/>
      <x:c r="T83" s="2"/>
      <x:c r="U83" s="2"/>
      <x:c r="V83" s="2"/>
    </x:row>
    <x:row r="84">
      <x:c r="A84" s="2"/>
      <x:c r="B84" s="2"/>
      <x:c r="C84" s="2"/>
      <x:c r="D84" s="2"/>
      <x:c r="E84" s="2"/>
      <x:c r="F84" s="2"/>
      <x:c r="G84" s="2"/>
      <x:c r="H84" s="2"/>
      <x:c r="I84" s="2"/>
      <x:c r="J84" s="2"/>
      <x:c r="K84" s="2"/>
      <x:c r="L84" s="2"/>
      <x:c r="M84" s="2"/>
      <x:c r="N84" s="2"/>
      <x:c r="O84" s="2"/>
      <x:c r="P84" s="2"/>
      <x:c r="Q84" s="2"/>
      <x:c r="R84" s="2"/>
      <x:c r="S84" s="2"/>
      <x:c r="T84" s="2"/>
      <x:c r="U84" s="2"/>
      <x:c r="V84" s="2"/>
    </x:row>
    <x:row r="85">
      <x:c r="A85" s="2"/>
      <x:c r="B85" s="2"/>
      <x:c r="C85" s="2"/>
      <x:c r="D85" s="2"/>
      <x:c r="E85" s="2"/>
      <x:c r="F85" s="2"/>
      <x:c r="G85" s="2"/>
      <x:c r="H85" s="2"/>
      <x:c r="I85" s="2"/>
      <x:c r="J85" s="2"/>
      <x:c r="K85" s="2"/>
      <x:c r="L85" s="2"/>
      <x:c r="M85" s="2"/>
      <x:c r="N85" s="2"/>
      <x:c r="O85" s="2"/>
      <x:c r="P85" s="2"/>
      <x:c r="Q85" s="2"/>
      <x:c r="R85" s="2"/>
      <x:c r="S85" s="2"/>
      <x:c r="T85" s="2"/>
      <x:c r="U85" s="2"/>
      <x:c r="V85" s="2"/>
    </x:row>
    <x:row r="86">
      <x:c r="A86" s="2"/>
      <x:c r="B86" s="2"/>
      <x:c r="C86" s="2"/>
      <x:c r="D86" s="2"/>
      <x:c r="E86" s="2"/>
      <x:c r="F86" s="2"/>
      <x:c r="G86" s="2"/>
      <x:c r="H86" s="2"/>
      <x:c r="I86" s="2"/>
      <x:c r="J86" s="2"/>
      <x:c r="K86" s="2"/>
      <x:c r="L86" s="2"/>
      <x:c r="M86" s="2"/>
      <x:c r="N86" s="2"/>
      <x:c r="O86" s="2"/>
      <x:c r="P86" s="2"/>
      <x:c r="Q86" s="2"/>
      <x:c r="R86" s="2"/>
      <x:c r="S86" s="2"/>
      <x:c r="T86" s="2"/>
      <x:c r="U86" s="2"/>
      <x:c r="V86" s="2"/>
    </x:row>
    <x:row r="87">
      <x:c r="A87" s="2"/>
      <x:c r="B87" s="2"/>
      <x:c r="C87" s="2"/>
      <x:c r="D87" s="2"/>
      <x:c r="E87" s="2"/>
      <x:c r="F87" s="2"/>
      <x:c r="G87" s="2"/>
      <x:c r="H87" s="2"/>
      <x:c r="I87" s="2"/>
      <x:c r="J87" s="2"/>
      <x:c r="K87" s="2"/>
      <x:c r="L87" s="2"/>
      <x:c r="M87" s="2"/>
      <x:c r="N87" s="2"/>
      <x:c r="O87" s="2"/>
      <x:c r="P87" s="2"/>
      <x:c r="Q87" s="2"/>
      <x:c r="R87" s="2"/>
      <x:c r="S87" s="2"/>
      <x:c r="T87" s="2"/>
      <x:c r="U87" s="2"/>
      <x:c r="V87" s="2"/>
    </x:row>
    <x:row r="88">
      <x:c r="A88" s="2"/>
      <x:c r="B88" s="2"/>
      <x:c r="C88" s="2"/>
      <x:c r="D88" s="2"/>
      <x:c r="E88" s="2"/>
      <x:c r="F88" s="2"/>
      <x:c r="G88" s="2"/>
      <x:c r="H88" s="2"/>
      <x:c r="I88" s="2"/>
      <x:c r="J88" s="2"/>
      <x:c r="K88" s="2"/>
      <x:c r="L88" s="2"/>
      <x:c r="M88" s="2"/>
      <x:c r="N88" s="2"/>
      <x:c r="O88" s="2"/>
      <x:c r="P88" s="2"/>
      <x:c r="Q88" s="2"/>
      <x:c r="R88" s="2"/>
      <x:c r="S88" s="2"/>
      <x:c r="T88" s="2"/>
      <x:c r="U88" s="2"/>
      <x:c r="V88" s="2"/>
    </x:row>
    <x:row r="89">
      <x:c r="A89" s="2"/>
      <x:c r="B89" s="2"/>
      <x:c r="C89" s="2"/>
      <x:c r="D89" s="2"/>
      <x:c r="E89" s="2"/>
      <x:c r="F89" s="2"/>
      <x:c r="G89" s="2"/>
      <x:c r="H89" s="2"/>
      <x:c r="I89" s="2"/>
      <x:c r="J89" s="2"/>
      <x:c r="K89" s="2"/>
      <x:c r="L89" s="2"/>
      <x:c r="M89" s="2"/>
      <x:c r="N89" s="2"/>
      <x:c r="O89" s="2"/>
      <x:c r="P89" s="2"/>
      <x:c r="Q89" s="2"/>
      <x:c r="R89" s="2"/>
      <x:c r="S89" s="2"/>
      <x:c r="T89" s="2"/>
      <x:c r="U89" s="2"/>
      <x:c r="V89" s="2"/>
    </x:row>
    <x:row r="90">
      <x:c r="A90" s="2"/>
      <x:c r="B90" s="2"/>
      <x:c r="C90" s="2"/>
      <x:c r="D90" s="2"/>
      <x:c r="E90" s="2"/>
      <x:c r="F90" s="2"/>
      <x:c r="G90" s="2"/>
      <x:c r="H90" s="2"/>
      <x:c r="I90" s="2"/>
      <x:c r="J90" s="2"/>
      <x:c r="K90" s="2"/>
      <x:c r="L90" s="2"/>
      <x:c r="M90" s="2"/>
      <x:c r="N90" s="2"/>
      <x:c r="O90" s="2"/>
      <x:c r="P90" s="2"/>
      <x:c r="Q90" s="2"/>
      <x:c r="R90" s="2"/>
      <x:c r="S90" s="2"/>
      <x:c r="T90" s="2"/>
      <x:c r="U90" s="2"/>
      <x:c r="V90" s="2"/>
    </x:row>
    <x:row r="91">
      <x:c r="A91" s="2"/>
      <x:c r="B91" s="2"/>
      <x:c r="C91" s="2"/>
      <x:c r="D91" s="2"/>
      <x:c r="E91" s="2"/>
      <x:c r="F91" s="2"/>
      <x:c r="G91" s="2"/>
      <x:c r="H91" s="2"/>
      <x:c r="I91" s="2"/>
      <x:c r="J91" s="2"/>
      <x:c r="K91" s="2"/>
      <x:c r="L91" s="2"/>
      <x:c r="M91" s="2"/>
      <x:c r="N91" s="2"/>
      <x:c r="O91" s="2"/>
      <x:c r="P91" s="2"/>
      <x:c r="Q91" s="2"/>
      <x:c r="R91" s="2"/>
      <x:c r="S91" s="2"/>
      <x:c r="T91" s="2"/>
      <x:c r="U91" s="2"/>
      <x:c r="V91" s="2"/>
    </x:row>
    <x:row r="92">
      <x:c r="A92" s="2"/>
      <x:c r="B92" s="2"/>
      <x:c r="C92" s="2"/>
      <x:c r="D92" s="2"/>
      <x:c r="E92" s="2"/>
      <x:c r="F92" s="2"/>
      <x:c r="G92" s="2"/>
      <x:c r="H92" s="2"/>
      <x:c r="I92" s="2"/>
      <x:c r="J92" s="2"/>
      <x:c r="K92" s="2"/>
      <x:c r="L92" s="2"/>
      <x:c r="M92" s="2"/>
      <x:c r="N92" s="2"/>
      <x:c r="O92" s="2"/>
      <x:c r="P92" s="2"/>
      <x:c r="Q92" s="2"/>
      <x:c r="R92" s="2"/>
      <x:c r="S92" s="2"/>
      <x:c r="T92" s="2"/>
      <x:c r="U92" s="2"/>
      <x:c r="V92" s="2"/>
    </x:row>
    <x:row r="93">
      <x:c r="A93" s="2"/>
      <x:c r="B93" s="2"/>
      <x:c r="C93" s="2"/>
      <x:c r="D93" s="2"/>
      <x:c r="E93" s="2"/>
      <x:c r="F93" s="2"/>
      <x:c r="G93" s="2"/>
      <x:c r="H93" s="2"/>
      <x:c r="I93" s="2"/>
      <x:c r="J93" s="2"/>
      <x:c r="K93" s="2"/>
      <x:c r="L93" s="2"/>
      <x:c r="M93" s="2"/>
      <x:c r="N93" s="2"/>
      <x:c r="O93" s="2"/>
      <x:c r="P93" s="2"/>
      <x:c r="Q93" s="2"/>
      <x:c r="R93" s="2"/>
      <x:c r="S93" s="2"/>
      <x:c r="T93" s="2"/>
      <x:c r="U93" s="2"/>
      <x:c r="V93" s="2"/>
    </x:row>
    <x:row r="94">
      <x:c r="A94" s="2"/>
      <x:c r="B94" s="2"/>
      <x:c r="C94" s="2"/>
      <x:c r="D94" s="2"/>
      <x:c r="E94" s="2"/>
      <x:c r="F94" s="2"/>
      <x:c r="G94" s="2"/>
      <x:c r="H94" s="2"/>
      <x:c r="I94" s="2"/>
      <x:c r="J94" s="2"/>
      <x:c r="K94" s="2"/>
      <x:c r="L94" s="2"/>
      <x:c r="M94" s="2"/>
      <x:c r="N94" s="2"/>
      <x:c r="O94" s="2"/>
      <x:c r="P94" s="2"/>
      <x:c r="Q94" s="2"/>
      <x:c r="R94" s="2"/>
      <x:c r="S94" s="2"/>
      <x:c r="T94" s="2"/>
      <x:c r="U94" s="2"/>
      <x:c r="V94" s="2"/>
    </x:row>
    <x:row r="95">
      <x:c r="A95" s="2"/>
      <x:c r="B95" s="2"/>
      <x:c r="C95" s="2"/>
      <x:c r="D95" s="2"/>
      <x:c r="E95" s="2"/>
      <x:c r="F95" s="2"/>
      <x:c r="G95" s="2"/>
      <x:c r="H95" s="2"/>
      <x:c r="I95" s="2"/>
      <x:c r="J95" s="2"/>
      <x:c r="K95" s="2"/>
      <x:c r="L95" s="2"/>
      <x:c r="M95" s="2"/>
      <x:c r="N95" s="2"/>
      <x:c r="O95" s="2"/>
      <x:c r="P95" s="2"/>
      <x:c r="Q95" s="2"/>
      <x:c r="R95" s="2"/>
      <x:c r="S95" s="2"/>
      <x:c r="T95" s="2"/>
      <x:c r="U95" s="2"/>
      <x:c r="V95" s="2"/>
    </x:row>
    <x:row r="96">
      <x:c r="A96" s="2"/>
      <x:c r="B96" s="2"/>
      <x:c r="C96" s="2"/>
      <x:c r="D96" s="2"/>
      <x:c r="E96" s="2"/>
      <x:c r="F96" s="2"/>
      <x:c r="G96" s="2"/>
      <x:c r="H96" s="2"/>
      <x:c r="I96" s="2"/>
      <x:c r="J96" s="2"/>
      <x:c r="K96" s="2"/>
      <x:c r="L96" s="2"/>
      <x:c r="M96" s="2"/>
      <x:c r="N96" s="2"/>
      <x:c r="O96" s="2"/>
      <x:c r="P96" s="2"/>
      <x:c r="Q96" s="2"/>
      <x:c r="R96" s="2"/>
      <x:c r="S96" s="2"/>
      <x:c r="T96" s="2"/>
      <x:c r="U96" s="2"/>
      <x:c r="V96" s="2"/>
    </x:row>
    <x:row r="97">
      <x:c r="A97" s="2"/>
      <x:c r="B97" s="2"/>
      <x:c r="C97" s="2"/>
      <x:c r="D97" s="2"/>
      <x:c r="E97" s="2"/>
      <x:c r="F97" s="2"/>
      <x:c r="G97" s="2"/>
      <x:c r="H97" s="2"/>
      <x:c r="I97" s="2"/>
      <x:c r="J97" s="2"/>
      <x:c r="K97" s="2"/>
      <x:c r="L97" s="2"/>
      <x:c r="M97" s="2"/>
      <x:c r="N97" s="2"/>
      <x:c r="O97" s="2"/>
      <x:c r="P97" s="2"/>
      <x:c r="Q97" s="2"/>
      <x:c r="R97" s="2"/>
      <x:c r="S97" s="2"/>
      <x:c r="T97" s="2"/>
      <x:c r="U97" s="2"/>
      <x:c r="V97" s="2"/>
    </x:row>
    <x:row r="98">
      <x:c r="A98" s="2"/>
      <x:c r="B98" s="2"/>
      <x:c r="C98" s="2"/>
      <x:c r="D98" s="2"/>
      <x:c r="E98" s="2"/>
      <x:c r="F98" s="2"/>
      <x:c r="G98" s="2"/>
      <x:c r="H98" s="2"/>
      <x:c r="I98" s="2"/>
      <x:c r="J98" s="2"/>
      <x:c r="K98" s="2"/>
      <x:c r="L98" s="2"/>
      <x:c r="M98" s="2"/>
      <x:c r="N98" s="2"/>
      <x:c r="O98" s="2"/>
      <x:c r="P98" s="2"/>
      <x:c r="Q98" s="2"/>
      <x:c r="R98" s="2"/>
      <x:c r="S98" s="2"/>
      <x:c r="T98" s="2"/>
      <x:c r="U98" s="2"/>
      <x:c r="V98" s="2"/>
    </x:row>
    <x:row r="99">
      <x:c r="A99" s="2"/>
      <x:c r="B99" s="2"/>
      <x:c r="C99" s="2"/>
      <x:c r="D99" s="2"/>
      <x:c r="E99" s="2"/>
      <x:c r="F99" s="2"/>
      <x:c r="G99" s="2"/>
      <x:c r="H99" s="2"/>
      <x:c r="I99" s="2"/>
      <x:c r="J99" s="2"/>
      <x:c r="K99" s="2"/>
      <x:c r="L99" s="2"/>
      <x:c r="M99" s="2"/>
      <x:c r="N99" s="2"/>
      <x:c r="O99" s="2"/>
      <x:c r="P99" s="2"/>
      <x:c r="Q99" s="2"/>
      <x:c r="R99" s="2"/>
      <x:c r="S99" s="2"/>
      <x:c r="T99" s="2"/>
      <x:c r="U99" s="2"/>
      <x:c r="V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conditionalFormatting sqref="M6:M17">
    <x:cfRule type="containsText" dxfId="1" priority="1" operator="containsText" text="否"/>
  </x:conditionalFormatting>
  <x:conditionalFormatting sqref="N6:N17">
    <x:cfRule type="containsText" dxfId="2" priority="2" operator="containsText" text="推定"/>
  </x:conditionalFormatting>
  <x:pageMargins left="0.7" right="0.7" top="0.75" bottom="0.75" header="0.3" footer="0.3"/>
  <x:tableParts count="1">
    <x:tablePart xmlns:r="http://schemas.openxmlformats.org/officeDocument/2006/relationships" r:id="R42969f543bae4f9f"/>
  </x:tableParts>
</x:worksheet>
</file>

<file path=xl/worksheets/sheet5.xml><?xml version="1.0" encoding="utf-8"?>
<x:worksheet xmlns:x="http://schemas.openxmlformats.org/spreadsheetml/2006/main">
  <x:sheetPr>
    <x:tabColor rgb="FF5B9BD5"/>
  </x:sheetPr>
  <x:sheetViews>
    <x:sheetView showGridLines="0" workbookViewId="0">
      <x:pane xSplit="3" ySplit="5" topLeftCell="D6" activePane="bottomRight" state="frozen"/>
    </x:sheetView>
  </x:sheetViews>
  <x:sheetFormatPr defaultRowHeight="15"/>
  <x:cols>
    <x:col min="1" max="1" width="15" hidden="0" customWidth="1"/>
    <x:col min="2" max="2" width="11" hidden="0" customWidth="1"/>
    <x:col min="3" max="3" width="34" hidden="0" customWidth="1"/>
    <x:col min="4" max="4" width="14" hidden="0" customWidth="1"/>
    <x:col min="5" max="5" width="14" hidden="0" customWidth="1"/>
    <x:col min="6" max="6" width="28" hidden="0" customWidth="1"/>
    <x:col min="7" max="7" width="11" hidden="0" customWidth="1"/>
    <x:col min="8" max="8" width="13" hidden="0" customWidth="1"/>
    <x:col min="9" max="9" width="13" hidden="0" customWidth="1"/>
    <x:col min="10" max="10" width="22" hidden="0" customWidth="1"/>
    <x:col min="11" max="11" width="18" hidden="0" customWidth="1"/>
    <x:col min="12" max="12" width="42" hidden="0" customWidth="1"/>
    <x:col min="13" max="13" width="19" hidden="0" customWidth="1"/>
    <x:col min="14" max="14" width="12" hidden="0" customWidth="1"/>
    <x:col min="15" max="15" width="36" hidden="0" customWidth="1"/>
    <x:col min="16" max="16" width="14" hidden="0" customWidth="1"/>
    <x:col min="17" max="17" width="38" hidden="0" customWidth="1"/>
    <x:col min="18" max="18" width="44"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需求节点</x:v>
      </x:c>
      <x:c r="B2" s="2"/>
      <x:c r="C2" s="2"/>
      <x:c r="D2" s="2"/>
      <x:c r="E2" s="2"/>
      <x:c r="F2" s="2"/>
      <x:c r="G2" s="2"/>
      <x:c r="H2" s="2"/>
      <x:c r="I2" s="2"/>
      <x:c r="J2" s="2"/>
      <x:c r="K2" s="2"/>
      <x:c r="L2" s="2"/>
      <x:c r="M2" s="2"/>
      <x:c r="N2" s="2"/>
      <x:c r="O2" s="2"/>
      <x:c r="P2" s="2"/>
      <x:c r="Q2" s="2"/>
      <x:c r="R2" s="2"/>
      <x:c r="S2" s="2"/>
      <x:c r="T2" s="2"/>
      <x:c r="U2" s="2"/>
      <x:c r="V2" s="2"/>
    </x:row>
    <x:row r="3">
      <x:c r="A3" s="5" t="str">
        <x:v>户数为模型基准。日均件量和峰值件量由统一参数计算，现场件量到手后可以覆盖。</x:v>
      </x:c>
      <x:c r="B3" s="4"/>
      <x:c r="C3" s="4"/>
      <x:c r="D3" s="4"/>
      <x:c r="E3" s="4"/>
      <x:c r="F3" s="4"/>
      <x:c r="G3" s="4"/>
      <x:c r="H3" s="4"/>
      <x:c r="I3" s="4"/>
      <x:c r="J3" s="4"/>
      <x:c r="K3" s="4"/>
      <x:c r="L3" s="4"/>
      <x:c r="M3" s="4"/>
      <x:c r="N3" s="4"/>
      <x:c r="O3" s="4"/>
      <x:c r="P3" s="4"/>
      <x:c r="Q3" s="4"/>
      <x:c r="R3" s="4"/>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x:c r="A5" s="14" t="str">
        <x:v>需求节点ID</x:v>
      </x:c>
      <x:c r="B5" s="15" t="str">
        <x:v>社区ID</x:v>
      </x:c>
      <x:c r="C5" s="15" t="str">
        <x:v>楼栋/分区名称</x:v>
      </x:c>
      <x:c r="D5" s="15" t="str">
        <x:v>经度WGS84</x:v>
      </x:c>
      <x:c r="E5" s="15" t="str">
        <x:v>纬度WGS84</x:v>
      </x:c>
      <x:c r="F5" s="15" t="str">
        <x:v>建筑类型</x:v>
      </x:c>
      <x:c r="G5" s="15" t="str">
        <x:v>户数</x:v>
      </x:c>
      <x:c r="H5" s="15" t="str">
        <x:v>日均件量</x:v>
      </x:c>
      <x:c r="I5" s="15" t="str">
        <x:v>峰值件量</x:v>
      </x:c>
      <x:c r="J5" s="15" t="str">
        <x:v>服务时间窗</x:v>
      </x:c>
      <x:c r="K5" s="15" t="str">
        <x:v>平均服务时间min</x:v>
      </x:c>
      <x:c r="L5" s="15" t="str">
        <x:v>特殊需求</x:v>
      </x:c>
      <x:c r="M5" s="15" t="str">
        <x:v>连接路网节点ID</x:v>
      </x:c>
      <x:c r="N5" s="15" t="str">
        <x:v>是否启用</x:v>
      </x:c>
      <x:c r="O5" s="15" t="str">
        <x:v>数据状态</x:v>
      </x:c>
      <x:c r="P5" s="15" t="str">
        <x:v>可信度</x:v>
      </x:c>
      <x:c r="Q5" s="15" t="str">
        <x:v>来源</x:v>
      </x:c>
      <x:c r="R5" s="16" t="str">
        <x:v>来源链接</x:v>
      </x:c>
      <x:c r="S5" s="2"/>
      <x:c r="T5" s="2"/>
      <x:c r="U5" s="2"/>
      <x:c r="V5" s="2"/>
    </x:row>
    <x:row r="6" ht="50" customHeight="1">
      <x:c r="A6" s="38" t="str">
        <x:v>C01-D01</x:v>
      </x:c>
      <x:c r="B6" s="38" t="str">
        <x:v>C01</x:v>
      </x:c>
      <x:c r="C6" s="38" t="str">
        <x:v>1 号楼</x:v>
      </x:c>
      <x:c r="D6" s="48" t="n">
        <x:v>116.485218</x:v>
      </x:c>
      <x:c r="E6" s="48" t="n">
        <x:v>39.798659</x:v>
      </x:c>
      <x:c r="F6" s="38" t="str">
        <x:v>多层（4 层板楼）</x:v>
      </x:c>
      <x:c r="G6" s="53" t="n">
        <x:v>97</x:v>
      </x:c>
      <x:c r="H6" s="54" t="n">
        <x:f>IF(OR(G6="",N6="否"),"",G6*'参数与来源'!$C$6)</x:f>
        <x:v>58.199999999999996</x:v>
      </x:c>
      <x:c r="I6" s="54" t="n">
        <x:f>IF(H6="","",H6*'参数与来源'!$C$7)</x:f>
        <x:v>116.39999999999999</x:v>
      </x:c>
      <x:c r="J6" s="38" t="str">
        <x:v>08:00—21:00（待核）</x:v>
      </x:c>
      <x:c r="K6" s="38" t="n">
        <x:v>3</x:v>
      </x:c>
      <x:c r="L6" s="38" t="str">
        <x:v>无电梯；老年住户比例高，偏好送货上门</x:v>
      </x:c>
      <x:c r="M6" s="38" t="str">
        <x:v>C01-R048</x:v>
      </x:c>
      <x:c r="N6" s="38" t="str">
        <x:v>是</x:v>
      </x:c>
      <x:c r="O6" s="38" t="str">
        <x:v>OSM 坐标 + 户数按建筑面积比例估算</x:v>
      </x:c>
      <x:c r="P6" s="38" t="str">
        <x:v>中</x:v>
      </x:c>
      <x:c r="Q6" s="38" t="str">
        <x:v>原始社区数据表</x:v>
      </x:c>
      <x:c r="R6" s="38" t="str"/>
      <x:c r="S6" s="2"/>
      <x:c r="T6" s="2"/>
      <x:c r="U6" s="2"/>
      <x:c r="V6" s="2"/>
    </x:row>
    <x:row r="7" ht="50" customHeight="1">
      <x:c r="A7" s="38" t="str">
        <x:v>C01-D02</x:v>
      </x:c>
      <x:c r="B7" s="38" t="str">
        <x:v>C01</x:v>
      </x:c>
      <x:c r="C7" s="38" t="str">
        <x:v>2 号楼</x:v>
      </x:c>
      <x:c r="D7" s="48" t="n">
        <x:v>116.48471</x:v>
      </x:c>
      <x:c r="E7" s="48" t="n">
        <x:v>39.79926</x:v>
      </x:c>
      <x:c r="F7" s="38" t="str">
        <x:v>多层（4 层板楼）</x:v>
      </x:c>
      <x:c r="G7" s="53" t="n">
        <x:v>91</x:v>
      </x:c>
      <x:c r="H7" s="54" t="n">
        <x:f>IF(OR(G7="",N7="否"),"",G7*'参数与来源'!$C$6)</x:f>
        <x:v>54.6</x:v>
      </x:c>
      <x:c r="I7" s="54" t="n">
        <x:f>IF(H7="","",H7*'参数与来源'!$C$7)</x:f>
        <x:v>109.2</x:v>
      </x:c>
      <x:c r="J7" s="38" t="str">
        <x:v>08:00—21:00（待核）</x:v>
      </x:c>
      <x:c r="K7" s="38" t="n">
        <x:v>3</x:v>
      </x:c>
      <x:c r="L7" s="38" t="str">
        <x:v>无电梯；老年住户比例高，偏好送货上门</x:v>
      </x:c>
      <x:c r="M7" s="38" t="str">
        <x:v>C01-R049</x:v>
      </x:c>
      <x:c r="N7" s="38" t="str">
        <x:v>是</x:v>
      </x:c>
      <x:c r="O7" s="38" t="str">
        <x:v>OSM 坐标 + 户数按建筑面积比例估算</x:v>
      </x:c>
      <x:c r="P7" s="38" t="str">
        <x:v>中</x:v>
      </x:c>
      <x:c r="Q7" s="38" t="str">
        <x:v>原始社区数据表</x:v>
      </x:c>
      <x:c r="R7" s="38" t="str"/>
      <x:c r="S7" s="2"/>
      <x:c r="T7" s="2"/>
      <x:c r="U7" s="2"/>
      <x:c r="V7" s="2"/>
    </x:row>
    <x:row r="8" ht="50" customHeight="1">
      <x:c r="A8" s="38" t="str">
        <x:v>C01-D03</x:v>
      </x:c>
      <x:c r="B8" s="38" t="str">
        <x:v>C01</x:v>
      </x:c>
      <x:c r="C8" s="38" t="str">
        <x:v>3 号楼</x:v>
      </x:c>
      <x:c r="D8" s="48" t="n">
        <x:v>116.485163</x:v>
      </x:c>
      <x:c r="E8" s="48" t="n">
        <x:v>39.79902</x:v>
      </x:c>
      <x:c r="F8" s="38" t="str">
        <x:v>多层（4 层板楼）</x:v>
      </x:c>
      <x:c r="G8" s="53" t="n">
        <x:v>43</x:v>
      </x:c>
      <x:c r="H8" s="54" t="n">
        <x:f>IF(OR(G8="",N8="否"),"",G8*'参数与来源'!$C$6)</x:f>
        <x:v>25.8</x:v>
      </x:c>
      <x:c r="I8" s="54" t="n">
        <x:f>IF(H8="","",H8*'参数与来源'!$C$7)</x:f>
        <x:v>51.6</x:v>
      </x:c>
      <x:c r="J8" s="38" t="str">
        <x:v>08:00—21:00（待核）</x:v>
      </x:c>
      <x:c r="K8" s="38" t="n">
        <x:v>3</x:v>
      </x:c>
      <x:c r="L8" s="38" t="str">
        <x:v>无电梯；老年住户比例高，偏好送货上门</x:v>
      </x:c>
      <x:c r="M8" s="38" t="str">
        <x:v>C01-R050</x:v>
      </x:c>
      <x:c r="N8" s="38" t="str">
        <x:v>是</x:v>
      </x:c>
      <x:c r="O8" s="38" t="str">
        <x:v>OSM 坐标 + 户数按建筑面积比例估算</x:v>
      </x:c>
      <x:c r="P8" s="38" t="str">
        <x:v>中</x:v>
      </x:c>
      <x:c r="Q8" s="38" t="str">
        <x:v>原始社区数据表</x:v>
      </x:c>
      <x:c r="R8" s="38" t="str"/>
      <x:c r="S8" s="2"/>
      <x:c r="T8" s="2"/>
      <x:c r="U8" s="2"/>
      <x:c r="V8" s="2"/>
    </x:row>
    <x:row r="9" ht="50" customHeight="1">
      <x:c r="A9" s="38" t="str">
        <x:v>C01-D04</x:v>
      </x:c>
      <x:c r="B9" s="38" t="str">
        <x:v>C01</x:v>
      </x:c>
      <x:c r="C9" s="38" t="str">
        <x:v>4 号楼</x:v>
      </x:c>
      <x:c r="D9" s="48" t="n">
        <x:v>116.484695</x:v>
      </x:c>
      <x:c r="E9" s="48" t="n">
        <x:v>39.799608</x:v>
      </x:c>
      <x:c r="F9" s="38" t="str">
        <x:v>多层（4 层板楼）</x:v>
      </x:c>
      <x:c r="G9" s="53" t="n">
        <x:v>41</x:v>
      </x:c>
      <x:c r="H9" s="54" t="n">
        <x:f>IF(OR(G9="",N9="否"),"",G9*'参数与来源'!$C$6)</x:f>
        <x:v>24.599999999999998</x:v>
      </x:c>
      <x:c r="I9" s="54" t="n">
        <x:f>IF(H9="","",H9*'参数与来源'!$C$7)</x:f>
        <x:v>49.199999999999996</x:v>
      </x:c>
      <x:c r="J9" s="38" t="str">
        <x:v>08:00—21:00（待核）</x:v>
      </x:c>
      <x:c r="K9" s="38" t="n">
        <x:v>3</x:v>
      </x:c>
      <x:c r="L9" s="38" t="str">
        <x:v>无电梯；老年住户比例高，偏好送货上门</x:v>
      </x:c>
      <x:c r="M9" s="38" t="str">
        <x:v>C01-R051</x:v>
      </x:c>
      <x:c r="N9" s="38" t="str">
        <x:v>是</x:v>
      </x:c>
      <x:c r="O9" s="38" t="str">
        <x:v>OSM 坐标 + 户数按建筑面积比例估算</x:v>
      </x:c>
      <x:c r="P9" s="38" t="str">
        <x:v>中</x:v>
      </x:c>
      <x:c r="Q9" s="38" t="str">
        <x:v>原始社区数据表</x:v>
      </x:c>
      <x:c r="R9" s="38" t="str"/>
      <x:c r="S9" s="2"/>
      <x:c r="T9" s="2"/>
      <x:c r="U9" s="2"/>
      <x:c r="V9" s="2"/>
    </x:row>
    <x:row r="10" ht="50" customHeight="1">
      <x:c r="A10" s="38" t="str">
        <x:v>C01-D05</x:v>
      </x:c>
      <x:c r="B10" s="38" t="str">
        <x:v>C01</x:v>
      </x:c>
      <x:c r="C10" s="38" t="str">
        <x:v>配套用房（物业办公楼·中控室）</x:v>
      </x:c>
      <x:c r="D10" s="48" t="n">
        <x:v>116.485346</x:v>
      </x:c>
      <x:c r="E10" s="48" t="n">
        <x:v>39.799412</x:v>
      </x:c>
      <x:c r="F10" s="38" t="str">
        <x:v>公共配套（3 层）</x:v>
      </x:c>
      <x:c r="G10" s="53" t="n">
        <x:v>0</x:v>
      </x:c>
      <x:c r="H10" s="54" t="str">
        <x:f>IF(OR(G10="",N10="否"),"",G10*'参数与来源'!$C$6)</x:f>
      </x:c>
      <x:c r="I10" s="54" t="str">
        <x:f>IF(H10="","",H10*'参数与来源'!$C$7)</x:f>
      </x:c>
      <x:c r="J10" s="38" t="str">
        <x:v>08:00—21:00（待核）</x:v>
      </x:c>
      <x:c r="K10" s="38" t="n">
        <x:v>3</x:v>
      </x:c>
      <x:c r="L10" s="38" t="str">
        <x:v>非住宅；可作驿站/柜体/接驳点候选载体</x:v>
      </x:c>
      <x:c r="M10" s="38" t="str">
        <x:v>C01-R052</x:v>
      </x:c>
      <x:c r="N10" s="38" t="str">
        <x:v>是</x:v>
      </x:c>
      <x:c r="O10" s="38" t="str">
        <x:v>OSM 坐标 + 官方「1 栋配套用房」</x:v>
      </x:c>
      <x:c r="P10" s="38" t="str">
        <x:v>中</x:v>
      </x:c>
      <x:c r="Q10" s="38" t="str">
        <x:v>原始社区数据表</x:v>
      </x:c>
      <x:c r="R10" s="38" t="str"/>
      <x:c r="S10" s="2"/>
      <x:c r="T10" s="2"/>
      <x:c r="U10" s="2"/>
      <x:c r="V10" s="2"/>
    </x:row>
    <x:row r="11" ht="50" customHeight="1">
      <x:c r="A11" s="38" t="str">
        <x:v>C03-D01</x:v>
      </x:c>
      <x:c r="B11" s="38" t="str">
        <x:v>C03</x:v>
      </x:c>
      <x:c r="C11" s="38" t="str">
        <x:v>住宅楼群（聚合1）</x:v>
      </x:c>
      <x:c r="D11" s="48" t="n">
        <x:v>116.491598</x:v>
      </x:c>
      <x:c r="E11" s="48" t="n">
        <x:v>39.803034</x:v>
      </x:c>
      <x:c r="F11" s="38" t="str">
        <x:v>住宅（6 层板楼，推定）</x:v>
      </x:c>
      <x:c r="G11" s="53" t="n">
        <x:v>61</x:v>
      </x:c>
      <x:c r="H11" s="54" t="n">
        <x:f>IF(OR(G11="",N11="否"),"",G11*'参数与来源'!$C$6)</x:f>
        <x:v>36.6</x:v>
      </x:c>
      <x:c r="I11" s="54" t="n">
        <x:f>IF(H11="","",H11*'参数与来源'!$C$7)</x:f>
        <x:v>73.2</x:v>
      </x:c>
      <x:c r="J11" s="38" t="str">
        <x:v>08:00—21:00（待核）</x:v>
      </x:c>
      <x:c r="K11" s="38" t="n">
        <x:v>3</x:v>
      </x:c>
      <x:c r="L11" s="38" t="str">
        <x:v>老旧小区；板楼无电梯；老年住户比例高，偏好送货上门；人车不分流，地上停车</x:v>
      </x:c>
      <x:c r="M11" s="38" t="str">
        <x:v>C03-R144</x:v>
      </x:c>
      <x:c r="N11" s="38" t="str">
        <x:v>是</x:v>
      </x:c>
      <x:c r="O11" s="38" t="str">
        <x:v>OSM 坐标 + 户数按建筑面积比例估算</x:v>
      </x:c>
      <x:c r="P11" s="38" t="str">
        <x:v>中</x:v>
      </x:c>
      <x:c r="Q11" s="38" t="str">
        <x:v>原始社区数据表</x:v>
      </x:c>
      <x:c r="R11" s="38" t="str"/>
      <x:c r="S11" s="2"/>
      <x:c r="T11" s="2"/>
      <x:c r="U11" s="2"/>
      <x:c r="V11" s="2"/>
    </x:row>
    <x:row r="12" ht="50" customHeight="1">
      <x:c r="A12" s="38" t="str">
        <x:v>C03-D02</x:v>
      </x:c>
      <x:c r="B12" s="38" t="str">
        <x:v>C03</x:v>
      </x:c>
      <x:c r="C12" s="38" t="str">
        <x:v>住宅楼群（聚合2）</x:v>
      </x:c>
      <x:c r="D12" s="48" t="n">
        <x:v>116.490896</x:v>
      </x:c>
      <x:c r="E12" s="48" t="n">
        <x:v>39.803856</x:v>
      </x:c>
      <x:c r="F12" s="38" t="str">
        <x:v>住宅</x:v>
      </x:c>
      <x:c r="G12" s="53" t="n">
        <x:v>27</x:v>
      </x:c>
      <x:c r="H12" s="54" t="n">
        <x:f>IF(OR(G12="",N12="否"),"",G12*'参数与来源'!$C$6)</x:f>
        <x:v>16.2</x:v>
      </x:c>
      <x:c r="I12" s="54" t="n">
        <x:f>IF(H12="","",H12*'参数与来源'!$C$7)</x:f>
        <x:v>32.4</x:v>
      </x:c>
      <x:c r="J12" s="38" t="str">
        <x:v>08:00—21:00（待核）</x:v>
      </x:c>
      <x:c r="K12" s="38" t="n">
        <x:v>3</x:v>
      </x:c>
      <x:c r="L12" s="38" t="str">
        <x:v>老旧小区；板楼无电梯；老年住户比例高，偏好送货上门；人车不分流，地上停车</x:v>
      </x:c>
      <x:c r="M12" s="38" t="str">
        <x:v>C03-R194</x:v>
      </x:c>
      <x:c r="N12" s="38" t="str">
        <x:v>是</x:v>
      </x:c>
      <x:c r="O12" s="38" t="str">
        <x:v>OSM 坐标 + 户数按建筑面积比例估算</x:v>
      </x:c>
      <x:c r="P12" s="38" t="str">
        <x:v>中</x:v>
      </x:c>
      <x:c r="Q12" s="38" t="str">
        <x:v>原始社区数据表</x:v>
      </x:c>
      <x:c r="R12" s="38" t="str"/>
      <x:c r="S12" s="2"/>
      <x:c r="T12" s="2"/>
      <x:c r="U12" s="2"/>
      <x:c r="V12" s="2"/>
    </x:row>
    <x:row r="13" ht="50" customHeight="1">
      <x:c r="A13" s="38" t="str">
        <x:v>C03-D03</x:v>
      </x:c>
      <x:c r="B13" s="38" t="str">
        <x:v>C03</x:v>
      </x:c>
      <x:c r="C13" s="38" t="str">
        <x:v>住宅楼群（聚合3）</x:v>
      </x:c>
      <x:c r="D13" s="48" t="n">
        <x:v>116.490812</x:v>
      </x:c>
      <x:c r="E13" s="48" t="n">
        <x:v>39.802091</x:v>
      </x:c>
      <x:c r="F13" s="38" t="str">
        <x:v>住宅</x:v>
      </x:c>
      <x:c r="G13" s="53" t="n">
        <x:v>69</x:v>
      </x:c>
      <x:c r="H13" s="54" t="n">
        <x:f>IF(OR(G13="",N13="否"),"",G13*'参数与来源'!$C$6)</x:f>
        <x:v>41.4</x:v>
      </x:c>
      <x:c r="I13" s="54" t="n">
        <x:f>IF(H13="","",H13*'参数与来源'!$C$7)</x:f>
        <x:v>82.8</x:v>
      </x:c>
      <x:c r="J13" s="38" t="str">
        <x:v>08:00—21:00（待核）</x:v>
      </x:c>
      <x:c r="K13" s="38" t="n">
        <x:v>3</x:v>
      </x:c>
      <x:c r="L13" s="38" t="str">
        <x:v>老旧小区；板楼无电梯；老年住户比例高，偏好送货上门；人车不分流，地上停车</x:v>
      </x:c>
      <x:c r="M13" s="38" t="str">
        <x:v>C03-R028</x:v>
      </x:c>
      <x:c r="N13" s="38" t="str">
        <x:v>是</x:v>
      </x:c>
      <x:c r="O13" s="38" t="str">
        <x:v>OSM 坐标 + 户数按建筑面积比例估算</x:v>
      </x:c>
      <x:c r="P13" s="38" t="str">
        <x:v>中</x:v>
      </x:c>
      <x:c r="Q13" s="38" t="str">
        <x:v>原始社区数据表</x:v>
      </x:c>
      <x:c r="R13" s="38" t="str"/>
      <x:c r="S13" s="2"/>
      <x:c r="T13" s="2"/>
      <x:c r="U13" s="2"/>
      <x:c r="V13" s="2"/>
    </x:row>
    <x:row r="14" ht="50" customHeight="1">
      <x:c r="A14" s="38" t="str">
        <x:v>C03-D04</x:v>
      </x:c>
      <x:c r="B14" s="38" t="str">
        <x:v>C03</x:v>
      </x:c>
      <x:c r="C14" s="38" t="str">
        <x:v>住宅楼群（聚合4）</x:v>
      </x:c>
      <x:c r="D14" s="48" t="n">
        <x:v>116.491433</x:v>
      </x:c>
      <x:c r="E14" s="48" t="n">
        <x:v>39.804361</x:v>
      </x:c>
      <x:c r="F14" s="38" t="str">
        <x:v>住宅</x:v>
      </x:c>
      <x:c r="G14" s="53" t="n">
        <x:v>51</x:v>
      </x:c>
      <x:c r="H14" s="54" t="n">
        <x:f>IF(OR(G14="",N14="否"),"",G14*'参数与来源'!$C$6)</x:f>
        <x:v>30.599999999999998</x:v>
      </x:c>
      <x:c r="I14" s="54" t="n">
        <x:f>IF(H14="","",H14*'参数与来源'!$C$7)</x:f>
        <x:v>61.199999999999996</x:v>
      </x:c>
      <x:c r="J14" s="38" t="str">
        <x:v>08:00—21:00（待核）</x:v>
      </x:c>
      <x:c r="K14" s="38" t="n">
        <x:v>3</x:v>
      </x:c>
      <x:c r="L14" s="38" t="str">
        <x:v>老旧小区；板楼无电梯；老年住户比例高，偏好送货上门；人车不分流，地上停车</x:v>
      </x:c>
      <x:c r="M14" s="38" t="str">
        <x:v>C03-R178</x:v>
      </x:c>
      <x:c r="N14" s="38" t="str">
        <x:v>是</x:v>
      </x:c>
      <x:c r="O14" s="38" t="str">
        <x:v>OSM 坐标 + 户数按建筑面积比例估算</x:v>
      </x:c>
      <x:c r="P14" s="38" t="str">
        <x:v>中</x:v>
      </x:c>
      <x:c r="Q14" s="38" t="str">
        <x:v>原始社区数据表</x:v>
      </x:c>
      <x:c r="R14" s="38" t="str"/>
      <x:c r="S14" s="2"/>
      <x:c r="T14" s="2"/>
      <x:c r="U14" s="2"/>
      <x:c r="V14" s="2"/>
    </x:row>
    <x:row r="15" ht="50" customHeight="1">
      <x:c r="A15" s="38" t="str">
        <x:v>C03-D05</x:v>
      </x:c>
      <x:c r="B15" s="38" t="str">
        <x:v>C03</x:v>
      </x:c>
      <x:c r="C15" s="38" t="str">
        <x:v>住宅楼群（聚合5）</x:v>
      </x:c>
      <x:c r="D15" s="48" t="n">
        <x:v>116.49285</x:v>
      </x:c>
      <x:c r="E15" s="48" t="n">
        <x:v>39.802189</x:v>
      </x:c>
      <x:c r="F15" s="38" t="str">
        <x:v>住宅（6 层板楼，推定）</x:v>
      </x:c>
      <x:c r="G15" s="53" t="n">
        <x:v>54</x:v>
      </x:c>
      <x:c r="H15" s="54" t="n">
        <x:f>IF(OR(G15="",N15="否"),"",G15*'参数与来源'!$C$6)</x:f>
        <x:v>32.4</x:v>
      </x:c>
      <x:c r="I15" s="54" t="n">
        <x:f>IF(H15="","",H15*'参数与来源'!$C$7)</x:f>
        <x:v>64.8</x:v>
      </x:c>
      <x:c r="J15" s="38" t="str">
        <x:v>08:00—21:00（待核）</x:v>
      </x:c>
      <x:c r="K15" s="38" t="n">
        <x:v>3</x:v>
      </x:c>
      <x:c r="L15" s="38" t="str">
        <x:v>老旧小区；板楼无电梯；老年住户比例高，偏好送货上门；人车不分流，地上停车</x:v>
      </x:c>
      <x:c r="M15" s="38" t="str">
        <x:v>C03-R145</x:v>
      </x:c>
      <x:c r="N15" s="38" t="str">
        <x:v>是</x:v>
      </x:c>
      <x:c r="O15" s="38" t="str">
        <x:v>OSM 坐标 + 户数按建筑面积比例估算</x:v>
      </x:c>
      <x:c r="P15" s="38" t="str">
        <x:v>中</x:v>
      </x:c>
      <x:c r="Q15" s="38" t="str">
        <x:v>原始社区数据表</x:v>
      </x:c>
      <x:c r="R15" s="38" t="str"/>
      <x:c r="S15" s="2"/>
      <x:c r="T15" s="2"/>
      <x:c r="U15" s="2"/>
      <x:c r="V15" s="2"/>
    </x:row>
    <x:row r="16" ht="50" customHeight="1">
      <x:c r="A16" s="38" t="str">
        <x:v>C03-D06</x:v>
      </x:c>
      <x:c r="B16" s="38" t="str">
        <x:v>C03</x:v>
      </x:c>
      <x:c r="C16" s="38" t="str">
        <x:v>住宅楼群（聚合6，原始名称误匹配已纠正）</x:v>
      </x:c>
      <x:c r="D16" s="48" t="n">
        <x:v>116.493052</x:v>
      </x:c>
      <x:c r="E16" s="48" t="n">
        <x:v>39.803459</x:v>
      </x:c>
      <x:c r="F16" s="38" t="str">
        <x:v>住宅（6 层板楼，推定）</x:v>
      </x:c>
      <x:c r="G16" s="53" t="n">
        <x:v>5</x:v>
      </x:c>
      <x:c r="H16" s="54" t="n">
        <x:f>IF(OR(G16="",N16="否"),"",G16*'参数与来源'!$C$6)</x:f>
        <x:v>3</x:v>
      </x:c>
      <x:c r="I16" s="54" t="n">
        <x:f>IF(H16="","",H16*'参数与来源'!$C$7)</x:f>
        <x:v>6</x:v>
      </x:c>
      <x:c r="J16" s="38" t="str">
        <x:v>08:00—21:00（待核）</x:v>
      </x:c>
      <x:c r="K16" s="38" t="n">
        <x:v>3</x:v>
      </x:c>
      <x:c r="L16" s="38" t="str">
        <x:v>老旧小区；板楼无电梯；老年住户比例高，偏好送货上门；人车不分流，地上停车</x:v>
      </x:c>
      <x:c r="M16" s="38" t="str">
        <x:v>C03-R146</x:v>
      </x:c>
      <x:c r="N16" s="38" t="str">
        <x:v>是</x:v>
      </x:c>
      <x:c r="O16" s="38" t="str">
        <x:v>清洗修正：原始OSM名称误匹配；坐标与户数保留待核</x:v>
      </x:c>
      <x:c r="P16" s="38" t="str">
        <x:v>中低</x:v>
      </x:c>
      <x:c r="Q16" s="38" t="str">
        <x:v>原始社区数据表</x:v>
      </x:c>
      <x:c r="R16" s="38" t="str"/>
      <x:c r="S16" s="2"/>
      <x:c r="T16" s="2"/>
      <x:c r="U16" s="2"/>
      <x:c r="V16" s="2"/>
    </x:row>
    <x:row r="17" ht="50" customHeight="1">
      <x:c r="A17" s="38" t="str">
        <x:v>C03-D07</x:v>
      </x:c>
      <x:c r="B17" s="38" t="str">
        <x:v>C03</x:v>
      </x:c>
      <x:c r="C17" s="38" t="str">
        <x:v>住宅楼群（聚合7）</x:v>
      </x:c>
      <x:c r="D17" s="48" t="n">
        <x:v>116.490324</x:v>
      </x:c>
      <x:c r="E17" s="48" t="n">
        <x:v>39.804666</x:v>
      </x:c>
      <x:c r="F17" s="38" t="str">
        <x:v>住宅</x:v>
      </x:c>
      <x:c r="G17" s="53" t="n">
        <x:v>15</x:v>
      </x:c>
      <x:c r="H17" s="54" t="n">
        <x:f>IF(OR(G17="",N17="否"),"",G17*'参数与来源'!$C$6)</x:f>
        <x:v>9</x:v>
      </x:c>
      <x:c r="I17" s="54" t="n">
        <x:f>IF(H17="","",H17*'参数与来源'!$C$7)</x:f>
        <x:v>18</x:v>
      </x:c>
      <x:c r="J17" s="38" t="str">
        <x:v>08:00—21:00（待核）</x:v>
      </x:c>
      <x:c r="K17" s="38" t="n">
        <x:v>3</x:v>
      </x:c>
      <x:c r="L17" s="38" t="str">
        <x:v>老旧小区；板楼无电梯；老年住户比例高，偏好送货上门；人车不分流，地上停车</x:v>
      </x:c>
      <x:c r="M17" s="38" t="str">
        <x:v>C03-R179</x:v>
      </x:c>
      <x:c r="N17" s="38" t="str">
        <x:v>是</x:v>
      </x:c>
      <x:c r="O17" s="38" t="str">
        <x:v>OSM 坐标 + 户数按建筑面积比例估算</x:v>
      </x:c>
      <x:c r="P17" s="38" t="str">
        <x:v>中</x:v>
      </x:c>
      <x:c r="Q17" s="38" t="str">
        <x:v>原始社区数据表</x:v>
      </x:c>
      <x:c r="R17" s="38" t="str"/>
      <x:c r="S17" s="2"/>
      <x:c r="T17" s="2"/>
      <x:c r="U17" s="2"/>
      <x:c r="V17" s="2"/>
    </x:row>
    <x:row r="18" ht="50" customHeight="1">
      <x:c r="A18" s="38" t="str">
        <x:v>C03-D08</x:v>
      </x:c>
      <x:c r="B18" s="38" t="str">
        <x:v>C03</x:v>
      </x:c>
      <x:c r="C18" s="38" t="str">
        <x:v>住宅楼群（聚合8）</x:v>
      </x:c>
      <x:c r="D18" s="48" t="n">
        <x:v>116.493539</x:v>
      </x:c>
      <x:c r="E18" s="48" t="n">
        <x:v>39.803038</x:v>
      </x:c>
      <x:c r="F18" s="38" t="str">
        <x:v>住宅</x:v>
      </x:c>
      <x:c r="G18" s="53" t="n">
        <x:v>32</x:v>
      </x:c>
      <x:c r="H18" s="54" t="n">
        <x:f>IF(OR(G18="",N18="否"),"",G18*'参数与来源'!$C$6)</x:f>
        <x:v>19.2</x:v>
      </x:c>
      <x:c r="I18" s="54" t="n">
        <x:f>IF(H18="","",H18*'参数与来源'!$C$7)</x:f>
        <x:v>38.4</x:v>
      </x:c>
      <x:c r="J18" s="38" t="str">
        <x:v>08:00—21:00（待核）</x:v>
      </x:c>
      <x:c r="K18" s="38" t="n">
        <x:v>3</x:v>
      </x:c>
      <x:c r="L18" s="38" t="str">
        <x:v>老旧小区；板楼无电梯；老年住户比例高，偏好送货上门；人车不分流，地上停车</x:v>
      </x:c>
      <x:c r="M18" s="38" t="str">
        <x:v>C03-R010</x:v>
      </x:c>
      <x:c r="N18" s="38" t="str">
        <x:v>是</x:v>
      </x:c>
      <x:c r="O18" s="38" t="str">
        <x:v>OSM 坐标 + 户数按建筑面积比例估算</x:v>
      </x:c>
      <x:c r="P18" s="38" t="str">
        <x:v>中</x:v>
      </x:c>
      <x:c r="Q18" s="38" t="str">
        <x:v>原始社区数据表</x:v>
      </x:c>
      <x:c r="R18" s="38" t="str"/>
      <x:c r="S18" s="2"/>
      <x:c r="T18" s="2"/>
      <x:c r="U18" s="2"/>
      <x:c r="V18" s="2"/>
    </x:row>
    <x:row r="19" ht="50" customHeight="1">
      <x:c r="A19" s="38" t="str">
        <x:v>C03-D09</x:v>
      </x:c>
      <x:c r="B19" s="38" t="str">
        <x:v>C03</x:v>
      </x:c>
      <x:c r="C19" s="38" t="str">
        <x:v>住宅楼群（聚合9）</x:v>
      </x:c>
      <x:c r="D19" s="48" t="n">
        <x:v>116.49323</x:v>
      </x:c>
      <x:c r="E19" s="48" t="n">
        <x:v>39.801712</x:v>
      </x:c>
      <x:c r="F19" s="38" t="str">
        <x:v>住宅（6 层板楼，推定）</x:v>
      </x:c>
      <x:c r="G19" s="53" t="n">
        <x:v>56</x:v>
      </x:c>
      <x:c r="H19" s="54" t="n">
        <x:f>IF(OR(G19="",N19="否"),"",G19*'参数与来源'!$C$6)</x:f>
        <x:v>33.6</x:v>
      </x:c>
      <x:c r="I19" s="54" t="n">
        <x:f>IF(H19="","",H19*'参数与来源'!$C$7)</x:f>
        <x:v>67.2</x:v>
      </x:c>
      <x:c r="J19" s="38" t="str">
        <x:v>08:00—21:00（待核）</x:v>
      </x:c>
      <x:c r="K19" s="38" t="n">
        <x:v>3</x:v>
      </x:c>
      <x:c r="L19" s="38" t="str">
        <x:v>老旧小区；板楼无电梯；老年住户比例高，偏好送货上门；人车不分流，地上停车</x:v>
      </x:c>
      <x:c r="M19" s="38" t="str">
        <x:v>C03-R192</x:v>
      </x:c>
      <x:c r="N19" s="38" t="str">
        <x:v>是</x:v>
      </x:c>
      <x:c r="O19" s="38" t="str">
        <x:v>OSM 坐标 + 户数按建筑面积比例估算</x:v>
      </x:c>
      <x:c r="P19" s="38" t="str">
        <x:v>中</x:v>
      </x:c>
      <x:c r="Q19" s="38" t="str">
        <x:v>原始社区数据表</x:v>
      </x:c>
      <x:c r="R19" s="38" t="str"/>
      <x:c r="S19" s="2"/>
      <x:c r="T19" s="2"/>
      <x:c r="U19" s="2"/>
      <x:c r="V19" s="2"/>
    </x:row>
    <x:row r="20" ht="50" customHeight="1">
      <x:c r="A20" s="38" t="str">
        <x:v>C03-D10</x:v>
      </x:c>
      <x:c r="B20" s="38" t="str">
        <x:v>C03</x:v>
      </x:c>
      <x:c r="C20" s="38" t="str">
        <x:v>住宅楼群（聚合10）</x:v>
      </x:c>
      <x:c r="D20" s="48" t="n">
        <x:v>116.492147</x:v>
      </x:c>
      <x:c r="E20" s="48" t="n">
        <x:v>39.800993</x:v>
      </x:c>
      <x:c r="F20" s="38" t="str">
        <x:v>住宅（6 层板楼，推定）</x:v>
      </x:c>
      <x:c r="G20" s="53" t="n">
        <x:v>29</x:v>
      </x:c>
      <x:c r="H20" s="54" t="n">
        <x:f>IF(OR(G20="",N20="否"),"",G20*'参数与来源'!$C$6)</x:f>
        <x:v>17.4</x:v>
      </x:c>
      <x:c r="I20" s="54" t="n">
        <x:f>IF(H20="","",H20*'参数与来源'!$C$7)</x:f>
        <x:v>34.8</x:v>
      </x:c>
      <x:c r="J20" s="38" t="str">
        <x:v>08:00—21:00（待核）</x:v>
      </x:c>
      <x:c r="K20" s="38" t="n">
        <x:v>3</x:v>
      </x:c>
      <x:c r="L20" s="38" t="str">
        <x:v>老旧小区；板楼无电梯；老年住户比例高，偏好送货上门；人车不分流，地上停车</x:v>
      </x:c>
      <x:c r="M20" s="38" t="str">
        <x:v>C03-R026</x:v>
      </x:c>
      <x:c r="N20" s="38" t="str">
        <x:v>是</x:v>
      </x:c>
      <x:c r="O20" s="38" t="str">
        <x:v>OSM 坐标 + 户数按建筑面积比例估算</x:v>
      </x:c>
      <x:c r="P20" s="38" t="str">
        <x:v>中</x:v>
      </x:c>
      <x:c r="Q20" s="38" t="str">
        <x:v>原始社区数据表</x:v>
      </x:c>
      <x:c r="R20" s="38" t="str"/>
      <x:c r="S20" s="2"/>
      <x:c r="T20" s="2"/>
      <x:c r="U20" s="2"/>
      <x:c r="V20" s="2"/>
    </x:row>
    <x:row r="21" ht="50" customHeight="1">
      <x:c r="A21" s="38" t="str">
        <x:v>C03-D11</x:v>
      </x:c>
      <x:c r="B21" s="38" t="str">
        <x:v>C03</x:v>
      </x:c>
      <x:c r="C21" s="38" t="str">
        <x:v>住宅楼群（聚合11）</x:v>
      </x:c>
      <x:c r="D21" s="48" t="n">
        <x:v>116.490763</x:v>
      </x:c>
      <x:c r="E21" s="48" t="n">
        <x:v>39.805134</x:v>
      </x:c>
      <x:c r="F21" s="38" t="str">
        <x:v>住宅</x:v>
      </x:c>
      <x:c r="G21" s="53" t="n">
        <x:v>21</x:v>
      </x:c>
      <x:c r="H21" s="54" t="n">
        <x:f>IF(OR(G21="",N21="否"),"",G21*'参数与来源'!$C$6)</x:f>
        <x:v>12.6</x:v>
      </x:c>
      <x:c r="I21" s="54" t="n">
        <x:f>IF(H21="","",H21*'参数与来源'!$C$7)</x:f>
        <x:v>25.2</x:v>
      </x:c>
      <x:c r="J21" s="38" t="str">
        <x:v>08:00—21:00（待核）</x:v>
      </x:c>
      <x:c r="K21" s="38" t="n">
        <x:v>3</x:v>
      </x:c>
      <x:c r="L21" s="38" t="str">
        <x:v>老旧小区；板楼无电梯；老年住户比例高，偏好送货上门；人车不分流，地上停车</x:v>
      </x:c>
      <x:c r="M21" s="38" t="str">
        <x:v>C03-R179</x:v>
      </x:c>
      <x:c r="N21" s="38" t="str">
        <x:v>是</x:v>
      </x:c>
      <x:c r="O21" s="38" t="str">
        <x:v>OSM 坐标 + 户数按建筑面积比例估算</x:v>
      </x:c>
      <x:c r="P21" s="38" t="str">
        <x:v>中</x:v>
      </x:c>
      <x:c r="Q21" s="38" t="str">
        <x:v>原始社区数据表</x:v>
      </x:c>
      <x:c r="R21" s="38" t="str"/>
      <x:c r="S21" s="2"/>
      <x:c r="T21" s="2"/>
      <x:c r="U21" s="2"/>
      <x:c r="V21" s="2"/>
    </x:row>
    <x:row r="22" ht="50" customHeight="1">
      <x:c r="A22" s="38" t="str">
        <x:v>C02-D01</x:v>
      </x:c>
      <x:c r="B22" s="38" t="str">
        <x:v>C02</x:v>
      </x:c>
      <x:c r="C22" s="38" t="str">
        <x:v>北部塔楼A</x:v>
      </x:c>
      <x:c r="D22" s="48" t="n">
        <x:v>116.4946636</x:v>
      </x:c>
      <x:c r="E22" s="48" t="n">
        <x:v>39.8000173</x:v>
      </x:c>
      <x:c r="F22" s="38" t="str">
        <x:v>塔楼（约15层）</x:v>
      </x:c>
      <x:c r="G22" s="53" t="n">
        <x:v>110</x:v>
      </x:c>
      <x:c r="H22" s="54" t="n">
        <x:f>IF(OR(G22="",N22="否"),"",G22*'参数与来源'!$C$6)</x:f>
        <x:v>66</x:v>
      </x:c>
      <x:c r="I22" s="54" t="n">
        <x:f>IF(H22="","",H22*'参数与来源'!$C$7)</x:f>
        <x:v>132</x:v>
      </x:c>
      <x:c r="J22" s="38" t="str">
        <x:v>08:00—21:00（待核）</x:v>
      </x:c>
      <x:c r="K22" s="38" t="n">
        <x:v>3</x:v>
      </x:c>
      <x:c r="L22" s="38" t="str">
        <x:v>塔楼与别墅采用聚合分配；实际楼栋户数待物业校准</x:v>
      </x:c>
      <x:c r="M22" s="38" t="str">
        <x:v>C02-R075</x:v>
      </x:c>
      <x:c r="N22" s="38" t="str">
        <x:v>是</x:v>
      </x:c>
      <x:c r="O22" s="38" t="str">
        <x:v>官方433户+OSM坐标+情景分配</x:v>
      </x:c>
      <x:c r="P22" s="38" t="str">
        <x:v>中</x:v>
      </x:c>
      <x:c r="Q22" s="38" t="str">
        <x:v>经开区官方户数；OSM建筑与道路</x:v>
      </x:c>
      <x:c r="R22" s="38" t="str">
        <x:v>https://kfqgw.beijing.gov.cn/ywdt/tt/cxfw/202203/t20220301_4180185.html</x:v>
      </x:c>
      <x:c r="S22" s="2"/>
      <x:c r="T22" s="2"/>
      <x:c r="U22" s="2"/>
      <x:c r="V22" s="2"/>
    </x:row>
    <x:row r="23" ht="50" customHeight="1">
      <x:c r="A23" s="38" t="str">
        <x:v>C02-D02</x:v>
      </x:c>
      <x:c r="B23" s="38" t="str">
        <x:v>C02</x:v>
      </x:c>
      <x:c r="C23" s="38" t="str">
        <x:v>北部塔楼B</x:v>
      </x:c>
      <x:c r="D23" s="48" t="n">
        <x:v>116.4950084</x:v>
      </x:c>
      <x:c r="E23" s="48" t="n">
        <x:v>39.7996768</x:v>
      </x:c>
      <x:c r="F23" s="38" t="str">
        <x:v>塔楼（约15层）</x:v>
      </x:c>
      <x:c r="G23" s="53" t="n">
        <x:v>110</x:v>
      </x:c>
      <x:c r="H23" s="54" t="n">
        <x:f>IF(OR(G23="",N23="否"),"",G23*'参数与来源'!$C$6)</x:f>
        <x:v>66</x:v>
      </x:c>
      <x:c r="I23" s="54" t="n">
        <x:f>IF(H23="","",H23*'参数与来源'!$C$7)</x:f>
        <x:v>132</x:v>
      </x:c>
      <x:c r="J23" s="38" t="str">
        <x:v>08:00—21:00（待核）</x:v>
      </x:c>
      <x:c r="K23" s="38" t="n">
        <x:v>3</x:v>
      </x:c>
      <x:c r="L23" s="38" t="str">
        <x:v>塔楼与别墅采用聚合分配；实际楼栋户数待物业校准</x:v>
      </x:c>
      <x:c r="M23" s="38" t="str">
        <x:v>C02-R076</x:v>
      </x:c>
      <x:c r="N23" s="38" t="str">
        <x:v>是</x:v>
      </x:c>
      <x:c r="O23" s="38" t="str">
        <x:v>官方433户+OSM坐标+情景分配</x:v>
      </x:c>
      <x:c r="P23" s="38" t="str">
        <x:v>中</x:v>
      </x:c>
      <x:c r="Q23" s="38" t="str">
        <x:v>经开区官方户数；OSM建筑与道路</x:v>
      </x:c>
      <x:c r="R23" s="38" t="str">
        <x:v>https://kfqgw.beijing.gov.cn/ywdt/tt/cxfw/202203/t20220301_4180185.html</x:v>
      </x:c>
      <x:c r="S23" s="2"/>
      <x:c r="T23" s="2"/>
      <x:c r="U23" s="2"/>
      <x:c r="V23" s="2"/>
    </x:row>
    <x:row r="24" ht="50" customHeight="1">
      <x:c r="A24" s="38" t="str">
        <x:v>C02-D03</x:v>
      </x:c>
      <x:c r="B24" s="38" t="str">
        <x:v>C02</x:v>
      </x:c>
      <x:c r="C24" s="38" t="str">
        <x:v>北部塔楼C</x:v>
      </x:c>
      <x:c r="D24" s="48" t="n">
        <x:v>116.4941602</x:v>
      </x:c>
      <x:c r="E24" s="48" t="n">
        <x:v>39.7999081</x:v>
      </x:c>
      <x:c r="F24" s="38" t="str">
        <x:v>塔楼（约15层）</x:v>
      </x:c>
      <x:c r="G24" s="53" t="n">
        <x:v>110</x:v>
      </x:c>
      <x:c r="H24" s="54" t="n">
        <x:f>IF(OR(G24="",N24="否"),"",G24*'参数与来源'!$C$6)</x:f>
        <x:v>66</x:v>
      </x:c>
      <x:c r="I24" s="54" t="n">
        <x:f>IF(H24="","",H24*'参数与来源'!$C$7)</x:f>
        <x:v>132</x:v>
      </x:c>
      <x:c r="J24" s="38" t="str">
        <x:v>08:00—21:00（待核）</x:v>
      </x:c>
      <x:c r="K24" s="38" t="n">
        <x:v>3</x:v>
      </x:c>
      <x:c r="L24" s="38" t="str">
        <x:v>塔楼与别墅采用聚合分配；实际楼栋户数待物业校准</x:v>
      </x:c>
      <x:c r="M24" s="38" t="str">
        <x:v>C02-R077</x:v>
      </x:c>
      <x:c r="N24" s="38" t="str">
        <x:v>是</x:v>
      </x:c>
      <x:c r="O24" s="38" t="str">
        <x:v>官方433户+OSM坐标+情景分配</x:v>
      </x:c>
      <x:c r="P24" s="38" t="str">
        <x:v>中</x:v>
      </x:c>
      <x:c r="Q24" s="38" t="str">
        <x:v>经开区官方户数；OSM建筑与道路</x:v>
      </x:c>
      <x:c r="R24" s="38" t="str">
        <x:v>https://kfqgw.beijing.gov.cn/ywdt/tt/cxfw/202203/t20220301_4180185.html</x:v>
      </x:c>
      <x:c r="S24" s="2"/>
      <x:c r="T24" s="2"/>
      <x:c r="U24" s="2"/>
      <x:c r="V24" s="2"/>
    </x:row>
    <x:row r="25" ht="50" customHeight="1">
      <x:c r="A25" s="38" t="str">
        <x:v>C02-D04</x:v>
      </x:c>
      <x:c r="B25" s="38" t="str">
        <x:v>C02</x:v>
      </x:c>
      <x:c r="C25" s="38" t="str">
        <x:v>别墅北区聚合</x:v>
      </x:c>
      <x:c r="D25" s="48" t="n">
        <x:v>116.4948</x:v>
      </x:c>
      <x:c r="E25" s="48" t="n">
        <x:v>39.7993</x:v>
      </x:c>
      <x:c r="F25" s="38" t="str">
        <x:v>低层住宅聚合</x:v>
      </x:c>
      <x:c r="G25" s="53" t="n">
        <x:v>26</x:v>
      </x:c>
      <x:c r="H25" s="54" t="n">
        <x:f>IF(OR(G25="",N25="否"),"",G25*'参数与来源'!$C$6)</x:f>
        <x:v>15.6</x:v>
      </x:c>
      <x:c r="I25" s="54" t="n">
        <x:f>IF(H25="","",H25*'参数与来源'!$C$7)</x:f>
        <x:v>31.2</x:v>
      </x:c>
      <x:c r="J25" s="38" t="str">
        <x:v>08:00—21:00（待核）</x:v>
      </x:c>
      <x:c r="K25" s="38" t="n">
        <x:v>3</x:v>
      </x:c>
      <x:c r="L25" s="38" t="str">
        <x:v>塔楼与别墅采用聚合分配；实际楼栋户数待物业校准</x:v>
      </x:c>
      <x:c r="M25" s="38" t="str">
        <x:v>C02-R081</x:v>
      </x:c>
      <x:c r="N25" s="38" t="str">
        <x:v>是</x:v>
      </x:c>
      <x:c r="O25" s="38" t="str">
        <x:v>官方433户+OSM坐标+情景分配</x:v>
      </x:c>
      <x:c r="P25" s="38" t="str">
        <x:v>中</x:v>
      </x:c>
      <x:c r="Q25" s="38" t="str">
        <x:v>经开区官方户数；OSM建筑与道路</x:v>
      </x:c>
      <x:c r="R25" s="38" t="str">
        <x:v>https://kfqgw.beijing.gov.cn/ywdt/tt/cxfw/202203/t20220301_4180185.html</x:v>
      </x:c>
      <x:c r="S25" s="2"/>
      <x:c r="T25" s="2"/>
      <x:c r="U25" s="2"/>
      <x:c r="V25" s="2"/>
    </x:row>
    <x:row r="26" ht="50" customHeight="1">
      <x:c r="A26" s="38" t="str">
        <x:v>C02-D05</x:v>
      </x:c>
      <x:c r="B26" s="38" t="str">
        <x:v>C02</x:v>
      </x:c>
      <x:c r="C26" s="38" t="str">
        <x:v>别墅中区聚合</x:v>
      </x:c>
      <x:c r="D26" s="48" t="n">
        <x:v>116.4934</x:v>
      </x:c>
      <x:c r="E26" s="48" t="n">
        <x:v>39.7986</x:v>
      </x:c>
      <x:c r="F26" s="38" t="str">
        <x:v>低层住宅聚合</x:v>
      </x:c>
      <x:c r="G26" s="53" t="n">
        <x:v>26</x:v>
      </x:c>
      <x:c r="H26" s="54" t="n">
        <x:f>IF(OR(G26="",N26="否"),"",G26*'参数与来源'!$C$6)</x:f>
        <x:v>15.6</x:v>
      </x:c>
      <x:c r="I26" s="54" t="n">
        <x:f>IF(H26="","",H26*'参数与来源'!$C$7)</x:f>
        <x:v>31.2</x:v>
      </x:c>
      <x:c r="J26" s="38" t="str">
        <x:v>08:00—21:00（待核）</x:v>
      </x:c>
      <x:c r="K26" s="38" t="n">
        <x:v>3</x:v>
      </x:c>
      <x:c r="L26" s="38" t="str">
        <x:v>塔楼与别墅采用聚合分配；实际楼栋户数待物业校准</x:v>
      </x:c>
      <x:c r="M26" s="38" t="str">
        <x:v>C02-R082</x:v>
      </x:c>
      <x:c r="N26" s="38" t="str">
        <x:v>是</x:v>
      </x:c>
      <x:c r="O26" s="38" t="str">
        <x:v>官方433户+OSM坐标+情景分配</x:v>
      </x:c>
      <x:c r="P26" s="38" t="str">
        <x:v>中</x:v>
      </x:c>
      <x:c r="Q26" s="38" t="str">
        <x:v>经开区官方户数；OSM建筑与道路</x:v>
      </x:c>
      <x:c r="R26" s="38" t="str">
        <x:v>https://kfqgw.beijing.gov.cn/ywdt/tt/cxfw/202203/t20220301_4180185.html</x:v>
      </x:c>
      <x:c r="S26" s="2"/>
      <x:c r="T26" s="2"/>
      <x:c r="U26" s="2"/>
      <x:c r="V26" s="2"/>
    </x:row>
    <x:row r="27" ht="50" customHeight="1">
      <x:c r="A27" s="38" t="str">
        <x:v>C02-D06</x:v>
      </x:c>
      <x:c r="B27" s="38" t="str">
        <x:v>C02</x:v>
      </x:c>
      <x:c r="C27" s="38" t="str">
        <x:v>别墅南区聚合</x:v>
      </x:c>
      <x:c r="D27" s="48" t="n">
        <x:v>116.4941</x:v>
      </x:c>
      <x:c r="E27" s="48" t="n">
        <x:v>39.7976</x:v>
      </x:c>
      <x:c r="F27" s="38" t="str">
        <x:v>低层住宅聚合</x:v>
      </x:c>
      <x:c r="G27" s="53" t="n">
        <x:v>26</x:v>
      </x:c>
      <x:c r="H27" s="54" t="n">
        <x:f>IF(OR(G27="",N27="否"),"",G27*'参数与来源'!$C$6)</x:f>
        <x:v>15.6</x:v>
      </x:c>
      <x:c r="I27" s="54" t="n">
        <x:f>IF(H27="","",H27*'参数与来源'!$C$7)</x:f>
        <x:v>31.2</x:v>
      </x:c>
      <x:c r="J27" s="38" t="str">
        <x:v>08:00—21:00（待核）</x:v>
      </x:c>
      <x:c r="K27" s="38" t="n">
        <x:v>3</x:v>
      </x:c>
      <x:c r="L27" s="38" t="str">
        <x:v>塔楼与别墅采用聚合分配；实际楼栋户数待物业校准</x:v>
      </x:c>
      <x:c r="M27" s="38" t="str">
        <x:v>C02-R043</x:v>
      </x:c>
      <x:c r="N27" s="38" t="str">
        <x:v>是</x:v>
      </x:c>
      <x:c r="O27" s="38" t="str">
        <x:v>官方433户+OSM坐标+情景分配</x:v>
      </x:c>
      <x:c r="P27" s="38" t="str">
        <x:v>中</x:v>
      </x:c>
      <x:c r="Q27" s="38" t="str">
        <x:v>经开区官方户数；OSM建筑与道路</x:v>
      </x:c>
      <x:c r="R27" s="38" t="str">
        <x:v>https://kfqgw.beijing.gov.cn/ywdt/tt/cxfw/202203/t20220301_4180185.html</x:v>
      </x:c>
      <x:c r="S27" s="2"/>
      <x:c r="T27" s="2"/>
      <x:c r="U27" s="2"/>
      <x:c r="V27" s="2"/>
    </x:row>
    <x:row r="28" ht="50" customHeight="1">
      <x:c r="A28" s="38" t="str">
        <x:v>C02-D07</x:v>
      </x:c>
      <x:c r="B28" s="38" t="str">
        <x:v>C02</x:v>
      </x:c>
      <x:c r="C28" s="38" t="str">
        <x:v>别墅南端聚合</x:v>
      </x:c>
      <x:c r="D28" s="48" t="n">
        <x:v>116.4949</x:v>
      </x:c>
      <x:c r="E28" s="48" t="n">
        <x:v>39.7968</x:v>
      </x:c>
      <x:c r="F28" s="38" t="str">
        <x:v>低层住宅聚合</x:v>
      </x:c>
      <x:c r="G28" s="53" t="n">
        <x:v>25</x:v>
      </x:c>
      <x:c r="H28" s="54" t="n">
        <x:f>IF(OR(G28="",N28="否"),"",G28*'参数与来源'!$C$6)</x:f>
        <x:v>15</x:v>
      </x:c>
      <x:c r="I28" s="54" t="n">
        <x:f>IF(H28="","",H28*'参数与来源'!$C$7)</x:f>
        <x:v>30</x:v>
      </x:c>
      <x:c r="J28" s="38" t="str">
        <x:v>08:00—21:00（待核）</x:v>
      </x:c>
      <x:c r="K28" s="38" t="n">
        <x:v>3</x:v>
      </x:c>
      <x:c r="L28" s="38" t="str">
        <x:v>塔楼与别墅采用聚合分配；实际楼栋户数待物业校准</x:v>
      </x:c>
      <x:c r="M28" s="38" t="str">
        <x:v>C02-R060</x:v>
      </x:c>
      <x:c r="N28" s="38" t="str">
        <x:v>是</x:v>
      </x:c>
      <x:c r="O28" s="38" t="str">
        <x:v>官方433户+OSM坐标+情景分配</x:v>
      </x:c>
      <x:c r="P28" s="38" t="str">
        <x:v>中</x:v>
      </x:c>
      <x:c r="Q28" s="38" t="str">
        <x:v>经开区官方户数；OSM建筑与道路</x:v>
      </x:c>
      <x:c r="R28" s="38" t="str">
        <x:v>https://kfqgw.beijing.gov.cn/ywdt/tt/cxfw/202203/t20220301_4180185.html</x:v>
      </x:c>
      <x:c r="S28" s="2"/>
      <x:c r="T28" s="2"/>
      <x:c r="U28" s="2"/>
      <x:c r="V28" s="2"/>
    </x:row>
    <x:row r="29" ht="50" customHeight="1">
      <x:c r="A29" s="38" t="str">
        <x:v>C04-D01</x:v>
      </x:c>
      <x:c r="B29" s="38" t="str">
        <x:v>C04</x:v>
      </x:c>
      <x:c r="C29" s="38" t="str">
        <x:v>住宅建筑簇01（OSM 252848272）</x:v>
      </x:c>
      <x:c r="D29" s="48" t="n">
        <x:v>116.5035636</x:v>
      </x:c>
      <x:c r="E29" s="48" t="n">
        <x:v>39.7629409</x:v>
      </x:c>
      <x:c r="F29" s="38" t="str">
        <x:v>高层住宅（OSM层数25）</x:v>
      </x:c>
      <x:c r="G29" s="53" t="n">
        <x:v>317</x:v>
      </x:c>
      <x:c r="H29" s="54" t="n">
        <x:f>IF(OR(G29="",N29="否"),"",G29*'参数与来源'!$C$6)</x:f>
        <x:v>190.2</x:v>
      </x:c>
      <x:c r="I29" s="54" t="n">
        <x:f>IF(H29="","",H29*'参数与来源'!$C$7)</x:f>
        <x:v>380.4</x:v>
      </x:c>
      <x:c r="J29" s="38" t="str">
        <x:v>08:00—21:00（待核）</x:v>
      </x:c>
      <x:c r="K29" s="38" t="n">
        <x:v>3</x:v>
      </x:c>
      <x:c r="L29" s="38" t="str">
        <x:v>OSM仅映射12个建筑足迹，按面积与层数分配2141个已入住户</x:v>
      </x:c>
      <x:c r="M29" s="38" t="str">
        <x:v>C04-RD01</x:v>
      </x:c>
      <x:c r="N29" s="38" t="str">
        <x:v>是</x:v>
      </x:c>
      <x:c r="O29" s="38" t="str">
        <x:v>OSM坐标+情景分配</x:v>
      </x:c>
      <x:c r="P29" s="38" t="str">
        <x:v>中低</x:v>
      </x:c>
      <x:c r="Q29" s="38" t="str">
        <x:v>OSM way 234410624及建筑足迹；原始文件入住户数</x:v>
      </x:c>
      <x:c r="R29" s="38" t="str">
        <x:v>https://www.openstreetmap.org/way/234410624</x:v>
      </x:c>
      <x:c r="S29" s="2"/>
      <x:c r="T29" s="2"/>
      <x:c r="U29" s="2"/>
      <x:c r="V29" s="2"/>
    </x:row>
    <x:row r="30" ht="50" customHeight="1">
      <x:c r="A30" s="38" t="str">
        <x:v>C04-D02</x:v>
      </x:c>
      <x:c r="B30" s="38" t="str">
        <x:v>C04</x:v>
      </x:c>
      <x:c r="C30" s="38" t="str">
        <x:v>住宅建筑簇02（OSM 475482758）</x:v>
      </x:c>
      <x:c r="D30" s="48" t="n">
        <x:v>116.5045614</x:v>
      </x:c>
      <x:c r="E30" s="48" t="n">
        <x:v>39.7626409</x:v>
      </x:c>
      <x:c r="F30" s="38" t="str">
        <x:v>高层住宅（OSM层数未标注）</x:v>
      </x:c>
      <x:c r="G30" s="53" t="n">
        <x:v>327</x:v>
      </x:c>
      <x:c r="H30" s="54" t="n">
        <x:f>IF(OR(G30="",N30="否"),"",G30*'参数与来源'!$C$6)</x:f>
        <x:v>196.2</x:v>
      </x:c>
      <x:c r="I30" s="54" t="n">
        <x:f>IF(H30="","",H30*'参数与来源'!$C$7)</x:f>
        <x:v>392.4</x:v>
      </x:c>
      <x:c r="J30" s="38" t="str">
        <x:v>08:00—21:00（待核）</x:v>
      </x:c>
      <x:c r="K30" s="38" t="n">
        <x:v>3</x:v>
      </x:c>
      <x:c r="L30" s="38" t="str">
        <x:v>OSM仅映射12个建筑足迹，按面积与层数分配2141个已入住户</x:v>
      </x:c>
      <x:c r="M30" s="38" t="str">
        <x:v>C04-RD02</x:v>
      </x:c>
      <x:c r="N30" s="38" t="str">
        <x:v>是</x:v>
      </x:c>
      <x:c r="O30" s="38" t="str">
        <x:v>OSM坐标+情景分配</x:v>
      </x:c>
      <x:c r="P30" s="38" t="str">
        <x:v>中低</x:v>
      </x:c>
      <x:c r="Q30" s="38" t="str">
        <x:v>OSM way 234410624及建筑足迹；原始文件入住户数</x:v>
      </x:c>
      <x:c r="R30" s="38" t="str">
        <x:v>https://www.openstreetmap.org/way/234410624</x:v>
      </x:c>
      <x:c r="S30" s="2"/>
      <x:c r="T30" s="2"/>
      <x:c r="U30" s="2"/>
      <x:c r="V30" s="2"/>
    </x:row>
    <x:row r="31" ht="50" customHeight="1">
      <x:c r="A31" s="38" t="str">
        <x:v>C04-D03</x:v>
      </x:c>
      <x:c r="B31" s="38" t="str">
        <x:v>C04</x:v>
      </x:c>
      <x:c r="C31" s="38" t="str">
        <x:v>住宅建筑簇03（OSM 359008003）</x:v>
      </x:c>
      <x:c r="D31" s="48" t="n">
        <x:v>116.5058885</x:v>
      </x:c>
      <x:c r="E31" s="48" t="n">
        <x:v>39.762507</x:v>
      </x:c>
      <x:c r="F31" s="38" t="str">
        <x:v>高层住宅（OSM层数未标注）</x:v>
      </x:c>
      <x:c r="G31" s="53" t="n">
        <x:v>117</x:v>
      </x:c>
      <x:c r="H31" s="54" t="n">
        <x:f>IF(OR(G31="",N31="否"),"",G31*'参数与来源'!$C$6)</x:f>
        <x:v>70.2</x:v>
      </x:c>
      <x:c r="I31" s="54" t="n">
        <x:f>IF(H31="","",H31*'参数与来源'!$C$7)</x:f>
        <x:v>140.4</x:v>
      </x:c>
      <x:c r="J31" s="38" t="str">
        <x:v>08:00—21:00（待核）</x:v>
      </x:c>
      <x:c r="K31" s="38" t="n">
        <x:v>3</x:v>
      </x:c>
      <x:c r="L31" s="38" t="str">
        <x:v>OSM仅映射12个建筑足迹，按面积与层数分配2141个已入住户</x:v>
      </x:c>
      <x:c r="M31" s="38" t="str">
        <x:v>C04-RD03</x:v>
      </x:c>
      <x:c r="N31" s="38" t="str">
        <x:v>是</x:v>
      </x:c>
      <x:c r="O31" s="38" t="str">
        <x:v>OSM坐标+情景分配</x:v>
      </x:c>
      <x:c r="P31" s="38" t="str">
        <x:v>中低</x:v>
      </x:c>
      <x:c r="Q31" s="38" t="str">
        <x:v>OSM way 234410624及建筑足迹；原始文件入住户数</x:v>
      </x:c>
      <x:c r="R31" s="38" t="str">
        <x:v>https://www.openstreetmap.org/way/234410624</x:v>
      </x:c>
      <x:c r="S31" s="2"/>
      <x:c r="T31" s="2"/>
      <x:c r="U31" s="2"/>
      <x:c r="V31" s="2"/>
    </x:row>
    <x:row r="32" ht="50" customHeight="1">
      <x:c r="A32" s="38" t="str">
        <x:v>C04-D04</x:v>
      </x:c>
      <x:c r="B32" s="38" t="str">
        <x:v>C04</x:v>
      </x:c>
      <x:c r="C32" s="38" t="str">
        <x:v>住宅建筑簇04（OSM 359008000）</x:v>
      </x:c>
      <x:c r="D32" s="48" t="n">
        <x:v>116.5052605</x:v>
      </x:c>
      <x:c r="E32" s="48" t="n">
        <x:v>39.7624745</x:v>
      </x:c>
      <x:c r="F32" s="38" t="str">
        <x:v>高层住宅（OSM层数未标注）</x:v>
      </x:c>
      <x:c r="G32" s="53" t="n">
        <x:v>117</x:v>
      </x:c>
      <x:c r="H32" s="54" t="n">
        <x:f>IF(OR(G32="",N32="否"),"",G32*'参数与来源'!$C$6)</x:f>
        <x:v>70.2</x:v>
      </x:c>
      <x:c r="I32" s="54" t="n">
        <x:f>IF(H32="","",H32*'参数与来源'!$C$7)</x:f>
        <x:v>140.4</x:v>
      </x:c>
      <x:c r="J32" s="38" t="str">
        <x:v>08:00—21:00（待核）</x:v>
      </x:c>
      <x:c r="K32" s="38" t="n">
        <x:v>3</x:v>
      </x:c>
      <x:c r="L32" s="38" t="str">
        <x:v>OSM仅映射12个建筑足迹，按面积与层数分配2141个已入住户</x:v>
      </x:c>
      <x:c r="M32" s="38" t="str">
        <x:v>C04-RD04</x:v>
      </x:c>
      <x:c r="N32" s="38" t="str">
        <x:v>是</x:v>
      </x:c>
      <x:c r="O32" s="38" t="str">
        <x:v>OSM坐标+情景分配</x:v>
      </x:c>
      <x:c r="P32" s="38" t="str">
        <x:v>中低</x:v>
      </x:c>
      <x:c r="Q32" s="38" t="str">
        <x:v>OSM way 234410624及建筑足迹；原始文件入住户数</x:v>
      </x:c>
      <x:c r="R32" s="38" t="str">
        <x:v>https://www.openstreetmap.org/way/234410624</x:v>
      </x:c>
      <x:c r="S32" s="2"/>
      <x:c r="T32" s="2"/>
      <x:c r="U32" s="2"/>
      <x:c r="V32" s="2"/>
    </x:row>
    <x:row r="33" ht="50" customHeight="1">
      <x:c r="A33" s="38" t="str">
        <x:v>C04-D05</x:v>
      </x:c>
      <x:c r="B33" s="38" t="str">
        <x:v>C04</x:v>
      </x:c>
      <x:c r="C33" s="38" t="str">
        <x:v>住宅建筑簇05（OSM 267655859）</x:v>
      </x:c>
      <x:c r="D33" s="48" t="n">
        <x:v>116.5030145</x:v>
      </x:c>
      <x:c r="E33" s="48" t="n">
        <x:v>39.7623759</x:v>
      </x:c>
      <x:c r="F33" s="38" t="str">
        <x:v>高层住宅（OSM层数25）</x:v>
      </x:c>
      <x:c r="G33" s="53" t="n">
        <x:v>137</x:v>
      </x:c>
      <x:c r="H33" s="54" t="n">
        <x:f>IF(OR(G33="",N33="否"),"",G33*'参数与来源'!$C$6)</x:f>
        <x:v>82.2</x:v>
      </x:c>
      <x:c r="I33" s="54" t="n">
        <x:f>IF(H33="","",H33*'参数与来源'!$C$7)</x:f>
        <x:v>164.4</x:v>
      </x:c>
      <x:c r="J33" s="38" t="str">
        <x:v>08:00—21:00（待核）</x:v>
      </x:c>
      <x:c r="K33" s="38" t="n">
        <x:v>3</x:v>
      </x:c>
      <x:c r="L33" s="38" t="str">
        <x:v>OSM仅映射12个建筑足迹，按面积与层数分配2141个已入住户</x:v>
      </x:c>
      <x:c r="M33" s="38" t="str">
        <x:v>C04-RD05</x:v>
      </x:c>
      <x:c r="N33" s="38" t="str">
        <x:v>是</x:v>
      </x:c>
      <x:c r="O33" s="38" t="str">
        <x:v>OSM坐标+情景分配</x:v>
      </x:c>
      <x:c r="P33" s="38" t="str">
        <x:v>中低</x:v>
      </x:c>
      <x:c r="Q33" s="38" t="str">
        <x:v>OSM way 234410624及建筑足迹；原始文件入住户数</x:v>
      </x:c>
      <x:c r="R33" s="38" t="str">
        <x:v>https://www.openstreetmap.org/way/234410624</x:v>
      </x:c>
      <x:c r="S33" s="2"/>
      <x:c r="T33" s="2"/>
      <x:c r="U33" s="2"/>
      <x:c r="V33" s="2"/>
    </x:row>
    <x:row r="34" ht="50" customHeight="1">
      <x:c r="A34" s="38" t="str">
        <x:v>C04-D06</x:v>
      </x:c>
      <x:c r="B34" s="38" t="str">
        <x:v>C04</x:v>
      </x:c>
      <x:c r="C34" s="38" t="str">
        <x:v>住宅建筑簇06（OSM 359008004）</x:v>
      </x:c>
      <x:c r="D34" s="48" t="n">
        <x:v>116.5056648</x:v>
      </x:c>
      <x:c r="E34" s="48" t="n">
        <x:v>39.7620254</x:v>
      </x:c>
      <x:c r="F34" s="38" t="str">
        <x:v>高层住宅（OSM层数未标注）</x:v>
      </x:c>
      <x:c r="G34" s="53" t="n">
        <x:v>117</x:v>
      </x:c>
      <x:c r="H34" s="54" t="n">
        <x:f>IF(OR(G34="",N34="否"),"",G34*'参数与来源'!$C$6)</x:f>
        <x:v>70.2</x:v>
      </x:c>
      <x:c r="I34" s="54" t="n">
        <x:f>IF(H34="","",H34*'参数与来源'!$C$7)</x:f>
        <x:v>140.4</x:v>
      </x:c>
      <x:c r="J34" s="38" t="str">
        <x:v>08:00—21:00（待核）</x:v>
      </x:c>
      <x:c r="K34" s="38" t="n">
        <x:v>3</x:v>
      </x:c>
      <x:c r="L34" s="38" t="str">
        <x:v>OSM仅映射12个建筑足迹，按面积与层数分配2141个已入住户</x:v>
      </x:c>
      <x:c r="M34" s="38" t="str">
        <x:v>C04-RD06</x:v>
      </x:c>
      <x:c r="N34" s="38" t="str">
        <x:v>是</x:v>
      </x:c>
      <x:c r="O34" s="38" t="str">
        <x:v>OSM坐标+情景分配</x:v>
      </x:c>
      <x:c r="P34" s="38" t="str">
        <x:v>中低</x:v>
      </x:c>
      <x:c r="Q34" s="38" t="str">
        <x:v>OSM way 234410624及建筑足迹；原始文件入住户数</x:v>
      </x:c>
      <x:c r="R34" s="38" t="str">
        <x:v>https://www.openstreetmap.org/way/234410624</x:v>
      </x:c>
      <x:c r="S34" s="2"/>
      <x:c r="T34" s="2"/>
      <x:c r="U34" s="2"/>
      <x:c r="V34" s="2"/>
    </x:row>
    <x:row r="35" ht="50" customHeight="1">
      <x:c r="A35" s="38" t="str">
        <x:v>C04-D07</x:v>
      </x:c>
      <x:c r="B35" s="38" t="str">
        <x:v>C04</x:v>
      </x:c>
      <x:c r="C35" s="38" t="str">
        <x:v>住宅建筑簇07（OSM 475482757）</x:v>
      </x:c>
      <x:c r="D35" s="48" t="n">
        <x:v>116.5035326</x:v>
      </x:c>
      <x:c r="E35" s="48" t="n">
        <x:v>39.7619434</x:v>
      </x:c>
      <x:c r="F35" s="38" t="str">
        <x:v>高层住宅（OSM层数未标注）</x:v>
      </x:c>
      <x:c r="G35" s="53" t="n">
        <x:v>269</x:v>
      </x:c>
      <x:c r="H35" s="54" t="n">
        <x:f>IF(OR(G35="",N35="否"),"",G35*'参数与来源'!$C$6)</x:f>
        <x:v>161.4</x:v>
      </x:c>
      <x:c r="I35" s="54" t="n">
        <x:f>IF(H35="","",H35*'参数与来源'!$C$7)</x:f>
        <x:v>322.8</x:v>
      </x:c>
      <x:c r="J35" s="38" t="str">
        <x:v>08:00—21:00（待核）</x:v>
      </x:c>
      <x:c r="K35" s="38" t="n">
        <x:v>3</x:v>
      </x:c>
      <x:c r="L35" s="38" t="str">
        <x:v>OSM仅映射12个建筑足迹，按面积与层数分配2141个已入住户</x:v>
      </x:c>
      <x:c r="M35" s="38" t="str">
        <x:v>C04-RD07</x:v>
      </x:c>
      <x:c r="N35" s="38" t="str">
        <x:v>是</x:v>
      </x:c>
      <x:c r="O35" s="38" t="str">
        <x:v>OSM坐标+情景分配</x:v>
      </x:c>
      <x:c r="P35" s="38" t="str">
        <x:v>中低</x:v>
      </x:c>
      <x:c r="Q35" s="38" t="str">
        <x:v>OSM way 234410624及建筑足迹；原始文件入住户数</x:v>
      </x:c>
      <x:c r="R35" s="38" t="str">
        <x:v>https://www.openstreetmap.org/way/234410624</x:v>
      </x:c>
      <x:c r="S35" s="2"/>
      <x:c r="T35" s="2"/>
      <x:c r="U35" s="2"/>
      <x:c r="V35" s="2"/>
    </x:row>
    <x:row r="36" ht="50" customHeight="1">
      <x:c r="A36" s="38" t="str">
        <x:v>C04-D08</x:v>
      </x:c>
      <x:c r="B36" s="38" t="str">
        <x:v>C04</x:v>
      </x:c>
      <x:c r="C36" s="38" t="str">
        <x:v>住宅建筑簇08（OSM 475482756）</x:v>
      </x:c>
      <x:c r="D36" s="48" t="n">
        <x:v>116.5045629</x:v>
      </x:c>
      <x:c r="E36" s="48" t="n">
        <x:v>39.7618585</x:v>
      </x:c>
      <x:c r="F36" s="38" t="str">
        <x:v>高层住宅（OSM层数未标注）</x:v>
      </x:c>
      <x:c r="G36" s="53" t="n">
        <x:v>273</x:v>
      </x:c>
      <x:c r="H36" s="54" t="n">
        <x:f>IF(OR(G36="",N36="否"),"",G36*'参数与来源'!$C$6)</x:f>
        <x:v>163.79999999999998</x:v>
      </x:c>
      <x:c r="I36" s="54" t="n">
        <x:f>IF(H36="","",H36*'参数与来源'!$C$7)</x:f>
        <x:v>327.59999999999997</x:v>
      </x:c>
      <x:c r="J36" s="38" t="str">
        <x:v>08:00—21:00（待核）</x:v>
      </x:c>
      <x:c r="K36" s="38" t="n">
        <x:v>3</x:v>
      </x:c>
      <x:c r="L36" s="38" t="str">
        <x:v>OSM仅映射12个建筑足迹，按面积与层数分配2141个已入住户</x:v>
      </x:c>
      <x:c r="M36" s="38" t="str">
        <x:v>C04-RD08</x:v>
      </x:c>
      <x:c r="N36" s="38" t="str">
        <x:v>是</x:v>
      </x:c>
      <x:c r="O36" s="38" t="str">
        <x:v>OSM坐标+情景分配</x:v>
      </x:c>
      <x:c r="P36" s="38" t="str">
        <x:v>中低</x:v>
      </x:c>
      <x:c r="Q36" s="38" t="str">
        <x:v>OSM way 234410624及建筑足迹；原始文件入住户数</x:v>
      </x:c>
      <x:c r="R36" s="38" t="str">
        <x:v>https://www.openstreetmap.org/way/234410624</x:v>
      </x:c>
      <x:c r="S36" s="2"/>
      <x:c r="T36" s="2"/>
      <x:c r="U36" s="2"/>
      <x:c r="V36" s="2"/>
    </x:row>
    <x:row r="37" ht="50" customHeight="1">
      <x:c r="A37" s="38" t="str">
        <x:v>C04-D09</x:v>
      </x:c>
      <x:c r="B37" s="38" t="str">
        <x:v>C04</x:v>
      </x:c>
      <x:c r="C37" s="38" t="str">
        <x:v>住宅建筑簇09（OSM 359007998）</x:v>
      </x:c>
      <x:c r="D37" s="48" t="n">
        <x:v>116.504142</x:v>
      </x:c>
      <x:c r="E37" s="48" t="n">
        <x:v>39.7614241</x:v>
      </x:c>
      <x:c r="F37" s="38" t="str">
        <x:v>高层住宅（OSM层数未标注）</x:v>
      </x:c>
      <x:c r="G37" s="53" t="n">
        <x:v>117</x:v>
      </x:c>
      <x:c r="H37" s="54" t="n">
        <x:f>IF(OR(G37="",N37="否"),"",G37*'参数与来源'!$C$6)</x:f>
        <x:v>70.2</x:v>
      </x:c>
      <x:c r="I37" s="54" t="n">
        <x:f>IF(H37="","",H37*'参数与来源'!$C$7)</x:f>
        <x:v>140.4</x:v>
      </x:c>
      <x:c r="J37" s="38" t="str">
        <x:v>08:00—21:00（待核）</x:v>
      </x:c>
      <x:c r="K37" s="38" t="n">
        <x:v>3</x:v>
      </x:c>
      <x:c r="L37" s="38" t="str">
        <x:v>OSM仅映射12个建筑足迹，按面积与层数分配2141个已入住户</x:v>
      </x:c>
      <x:c r="M37" s="38" t="str">
        <x:v>C04-RD09</x:v>
      </x:c>
      <x:c r="N37" s="38" t="str">
        <x:v>是</x:v>
      </x:c>
      <x:c r="O37" s="38" t="str">
        <x:v>OSM坐标+情景分配</x:v>
      </x:c>
      <x:c r="P37" s="38" t="str">
        <x:v>中低</x:v>
      </x:c>
      <x:c r="Q37" s="38" t="str">
        <x:v>OSM way 234410624及建筑足迹；原始文件入住户数</x:v>
      </x:c>
      <x:c r="R37" s="38" t="str">
        <x:v>https://www.openstreetmap.org/way/234410624</x:v>
      </x:c>
      <x:c r="S37" s="2"/>
      <x:c r="T37" s="2"/>
      <x:c r="U37" s="2"/>
      <x:c r="V37" s="2"/>
    </x:row>
    <x:row r="38" ht="50" customHeight="1">
      <x:c r="A38" s="38" t="str">
        <x:v>C04-D10</x:v>
      </x:c>
      <x:c r="B38" s="38" t="str">
        <x:v>C04</x:v>
      </x:c>
      <x:c r="C38" s="38" t="str">
        <x:v>住宅建筑簇10（OSM 359008001）</x:v>
      </x:c>
      <x:c r="D38" s="48" t="n">
        <x:v>116.5047081</x:v>
      </x:c>
      <x:c r="E38" s="48" t="n">
        <x:v>39.7610251</x:v>
      </x:c>
      <x:c r="F38" s="38" t="str">
        <x:v>高层住宅（OSM层数未标注）</x:v>
      </x:c>
      <x:c r="G38" s="53" t="n">
        <x:v>117</x:v>
      </x:c>
      <x:c r="H38" s="54" t="n">
        <x:f>IF(OR(G38="",N38="否"),"",G38*'参数与来源'!$C$6)</x:f>
        <x:v>70.2</x:v>
      </x:c>
      <x:c r="I38" s="54" t="n">
        <x:f>IF(H38="","",H38*'参数与来源'!$C$7)</x:f>
        <x:v>140.4</x:v>
      </x:c>
      <x:c r="J38" s="38" t="str">
        <x:v>08:00—21:00（待核）</x:v>
      </x:c>
      <x:c r="K38" s="38" t="n">
        <x:v>3</x:v>
      </x:c>
      <x:c r="L38" s="38" t="str">
        <x:v>OSM仅映射12个建筑足迹，按面积与层数分配2141个已入住户</x:v>
      </x:c>
      <x:c r="M38" s="38" t="str">
        <x:v>C04-RD10</x:v>
      </x:c>
      <x:c r="N38" s="38" t="str">
        <x:v>是</x:v>
      </x:c>
      <x:c r="O38" s="38" t="str">
        <x:v>OSM坐标+情景分配</x:v>
      </x:c>
      <x:c r="P38" s="38" t="str">
        <x:v>中低</x:v>
      </x:c>
      <x:c r="Q38" s="38" t="str">
        <x:v>OSM way 234410624及建筑足迹；原始文件入住户数</x:v>
      </x:c>
      <x:c r="R38" s="38" t="str">
        <x:v>https://www.openstreetmap.org/way/234410624</x:v>
      </x:c>
      <x:c r="S38" s="2"/>
      <x:c r="T38" s="2"/>
      <x:c r="U38" s="2"/>
      <x:c r="V38" s="2"/>
    </x:row>
    <x:row r="39" ht="50" customHeight="1">
      <x:c r="A39" s="38" t="str">
        <x:v>C04-D11</x:v>
      </x:c>
      <x:c r="B39" s="38" t="str">
        <x:v>C04</x:v>
      </x:c>
      <x:c r="C39" s="38" t="str">
        <x:v>住宅建筑簇11（OSM 359008002）</x:v>
      </x:c>
      <x:c r="D39" s="48" t="n">
        <x:v>116.5042844</x:v>
      </x:c>
      <x:c r="E39" s="48" t="n">
        <x:v>39.7607256</x:v>
      </x:c>
      <x:c r="F39" s="38" t="str">
        <x:v>高层住宅（OSM层数未标注）</x:v>
      </x:c>
      <x:c r="G39" s="53" t="n">
        <x:v>116</x:v>
      </x:c>
      <x:c r="H39" s="54" t="n">
        <x:f>IF(OR(G39="",N39="否"),"",G39*'参数与来源'!$C$6)</x:f>
        <x:v>69.6</x:v>
      </x:c>
      <x:c r="I39" s="54" t="n">
        <x:f>IF(H39="","",H39*'参数与来源'!$C$7)</x:f>
        <x:v>139.2</x:v>
      </x:c>
      <x:c r="J39" s="38" t="str">
        <x:v>08:00—21:00（待核）</x:v>
      </x:c>
      <x:c r="K39" s="38" t="n">
        <x:v>3</x:v>
      </x:c>
      <x:c r="L39" s="38" t="str">
        <x:v>OSM仅映射12个建筑足迹，按面积与层数分配2141个已入住户</x:v>
      </x:c>
      <x:c r="M39" s="38" t="str">
        <x:v>C04-RD11</x:v>
      </x:c>
      <x:c r="N39" s="38" t="str">
        <x:v>是</x:v>
      </x:c>
      <x:c r="O39" s="38" t="str">
        <x:v>OSM坐标+情景分配</x:v>
      </x:c>
      <x:c r="P39" s="38" t="str">
        <x:v>中低</x:v>
      </x:c>
      <x:c r="Q39" s="38" t="str">
        <x:v>OSM way 234410624及建筑足迹；原始文件入住户数</x:v>
      </x:c>
      <x:c r="R39" s="38" t="str">
        <x:v>https://www.openstreetmap.org/way/234410624</x:v>
      </x:c>
      <x:c r="S39" s="2"/>
      <x:c r="T39" s="2"/>
      <x:c r="U39" s="2"/>
      <x:c r="V39" s="2"/>
    </x:row>
    <x:row r="40" ht="50" customHeight="1">
      <x:c r="A40" s="38" t="str">
        <x:v>C04-D12</x:v>
      </x:c>
      <x:c r="B40" s="38" t="str">
        <x:v>C04</x:v>
      </x:c>
      <x:c r="C40" s="38" t="str">
        <x:v>住宅建筑簇12（OSM 359007999）</x:v>
      </x:c>
      <x:c r="D40" s="48" t="n">
        <x:v>116.5051148</x:v>
      </x:c>
      <x:c r="E40" s="48" t="n">
        <x:v>39.7606746</x:v>
      </x:c>
      <x:c r="F40" s="38" t="str">
        <x:v>高层住宅（OSM层数未标注）</x:v>
      </x:c>
      <x:c r="G40" s="53" t="n">
        <x:v>117</x:v>
      </x:c>
      <x:c r="H40" s="54" t="n">
        <x:f>IF(OR(G40="",N40="否"),"",G40*'参数与来源'!$C$6)</x:f>
        <x:v>70.2</x:v>
      </x:c>
      <x:c r="I40" s="54" t="n">
        <x:f>IF(H40="","",H40*'参数与来源'!$C$7)</x:f>
        <x:v>140.4</x:v>
      </x:c>
      <x:c r="J40" s="38" t="str">
        <x:v>08:00—21:00（待核）</x:v>
      </x:c>
      <x:c r="K40" s="38" t="n">
        <x:v>3</x:v>
      </x:c>
      <x:c r="L40" s="38" t="str">
        <x:v>OSM仅映射12个建筑足迹，按面积与层数分配2141个已入住户</x:v>
      </x:c>
      <x:c r="M40" s="38" t="str">
        <x:v>C04-RD12</x:v>
      </x:c>
      <x:c r="N40" s="38" t="str">
        <x:v>是</x:v>
      </x:c>
      <x:c r="O40" s="38" t="str">
        <x:v>OSM坐标+情景分配</x:v>
      </x:c>
      <x:c r="P40" s="38" t="str">
        <x:v>中低</x:v>
      </x:c>
      <x:c r="Q40" s="38" t="str">
        <x:v>OSM way 234410624及建筑足迹；原始文件入住户数</x:v>
      </x:c>
      <x:c r="R40" s="38" t="str">
        <x:v>https://www.openstreetmap.org/way/234410624</x:v>
      </x:c>
      <x:c r="S40" s="2"/>
      <x:c r="T40" s="2"/>
      <x:c r="U40" s="2"/>
      <x:c r="V40" s="2"/>
    </x:row>
    <x:row r="41" ht="50" customHeight="1">
      <x:c r="A41" s="38" t="str">
        <x:v>C05-D01</x:v>
      </x:c>
      <x:c r="B41" s="38" t="str">
        <x:v>C05</x:v>
      </x:c>
      <x:c r="C41" s="38" t="str">
        <x:v>住宅建筑聚合区01</x:v>
      </x:c>
      <x:c r="D41" s="48" t="n">
        <x:v>116.4856796</x:v>
      </x:c>
      <x:c r="E41" s="48" t="n">
        <x:v>39.7978906</x:v>
      </x:c>
      <x:c r="F41" s="38" t="str">
        <x:v>住宅建筑聚类（2个OSM足迹）</x:v>
      </x:c>
      <x:c r="G41" s="53" t="n">
        <x:v>156</x:v>
      </x:c>
      <x:c r="H41" s="54" t="n">
        <x:f>IF(OR(G41="",N41="否"),"",G41*'参数与来源'!$C$6)</x:f>
        <x:v>93.6</x:v>
      </x:c>
      <x:c r="I41" s="54" t="n">
        <x:f>IF(H41="","",H41*'参数与来源'!$C$7)</x:f>
        <x:v>187.2</x:v>
      </x:c>
      <x:c r="J41" s="38" t="str">
        <x:v>08:00—21:00（待核）</x:v>
      </x:c>
      <x:c r="K41" s="38" t="n">
        <x:v>3</x:v>
      </x:c>
      <x:c r="L41" s="38" t="str">
        <x:v>高层与别墅混合；逐栋户数待物业台账校准</x:v>
      </x:c>
      <x:c r="M41" s="38" t="str">
        <x:v>C05-RD01</x:v>
      </x:c>
      <x:c r="N41" s="38" t="str">
        <x:v>是</x:v>
      </x:c>
      <x:c r="O41" s="38" t="str">
        <x:v>OSM坐标+面积权重聚合</x:v>
      </x:c>
      <x:c r="P41" s="38" t="str">
        <x:v>中低</x:v>
      </x:c>
      <x:c r="Q41" s="38" t="str">
        <x:v>OSM way 234418243及建筑足迹；房天下1050户</x:v>
      </x:c>
      <x:c r="R41" s="38" t="str">
        <x:v>https://www.openstreetmap.org/way/234418243</x:v>
      </x:c>
      <x:c r="S41" s="2"/>
      <x:c r="T41" s="2"/>
      <x:c r="U41" s="2"/>
      <x:c r="V41" s="2"/>
    </x:row>
    <x:row r="42" ht="50" customHeight="1">
      <x:c r="A42" s="38" t="str">
        <x:v>C05-D02</x:v>
      </x:c>
      <x:c r="B42" s="38" t="str">
        <x:v>C05</x:v>
      </x:c>
      <x:c r="C42" s="38" t="str">
        <x:v>住宅建筑聚合区02</x:v>
      </x:c>
      <x:c r="D42" s="48" t="n">
        <x:v>116.4865593</x:v>
      </x:c>
      <x:c r="E42" s="48" t="n">
        <x:v>39.7974475</x:v>
      </x:c>
      <x:c r="F42" s="38" t="str">
        <x:v>住宅建筑聚类（7个OSM足迹）</x:v>
      </x:c>
      <x:c r="G42" s="53" t="n">
        <x:v>80</x:v>
      </x:c>
      <x:c r="H42" s="54" t="n">
        <x:f>IF(OR(G42="",N42="否"),"",G42*'参数与来源'!$C$6)</x:f>
        <x:v>48</x:v>
      </x:c>
      <x:c r="I42" s="54" t="n">
        <x:f>IF(H42="","",H42*'参数与来源'!$C$7)</x:f>
        <x:v>96</x:v>
      </x:c>
      <x:c r="J42" s="38" t="str">
        <x:v>08:00—21:00（待核）</x:v>
      </x:c>
      <x:c r="K42" s="38" t="n">
        <x:v>3</x:v>
      </x:c>
      <x:c r="L42" s="38" t="str">
        <x:v>高层与别墅混合；逐栋户数待物业台账校准</x:v>
      </x:c>
      <x:c r="M42" s="38" t="str">
        <x:v>C05-RD02</x:v>
      </x:c>
      <x:c r="N42" s="38" t="str">
        <x:v>是</x:v>
      </x:c>
      <x:c r="O42" s="38" t="str">
        <x:v>OSM坐标+面积权重聚合</x:v>
      </x:c>
      <x:c r="P42" s="38" t="str">
        <x:v>中低</x:v>
      </x:c>
      <x:c r="Q42" s="38" t="str">
        <x:v>OSM way 234418243及建筑足迹；房天下1050户</x:v>
      </x:c>
      <x:c r="R42" s="38" t="str">
        <x:v>https://www.openstreetmap.org/way/234418243</x:v>
      </x:c>
      <x:c r="S42" s="2"/>
      <x:c r="T42" s="2"/>
      <x:c r="U42" s="2"/>
      <x:c r="V42" s="2"/>
    </x:row>
    <x:row r="43" ht="50" customHeight="1">
      <x:c r="A43" s="38" t="str">
        <x:v>C05-D03</x:v>
      </x:c>
      <x:c r="B43" s="38" t="str">
        <x:v>C05</x:v>
      </x:c>
      <x:c r="C43" s="38" t="str">
        <x:v>住宅建筑聚合区03</x:v>
      </x:c>
      <x:c r="D43" s="48" t="n">
        <x:v>116.4848774</x:v>
      </x:c>
      <x:c r="E43" s="48" t="n">
        <x:v>39.7972478</x:v>
      </x:c>
      <x:c r="F43" s="38" t="str">
        <x:v>住宅建筑聚类（7个OSM足迹）</x:v>
      </x:c>
      <x:c r="G43" s="53" t="n">
        <x:v>75</x:v>
      </x:c>
      <x:c r="H43" s="54" t="n">
        <x:f>IF(OR(G43="",N43="否"),"",G43*'参数与来源'!$C$6)</x:f>
        <x:v>45</x:v>
      </x:c>
      <x:c r="I43" s="54" t="n">
        <x:f>IF(H43="","",H43*'参数与来源'!$C$7)</x:f>
        <x:v>90</x:v>
      </x:c>
      <x:c r="J43" s="38" t="str">
        <x:v>08:00—21:00（待核）</x:v>
      </x:c>
      <x:c r="K43" s="38" t="n">
        <x:v>3</x:v>
      </x:c>
      <x:c r="L43" s="38" t="str">
        <x:v>高层与别墅混合；逐栋户数待物业台账校准</x:v>
      </x:c>
      <x:c r="M43" s="38" t="str">
        <x:v>C05-RD03</x:v>
      </x:c>
      <x:c r="N43" s="38" t="str">
        <x:v>是</x:v>
      </x:c>
      <x:c r="O43" s="38" t="str">
        <x:v>OSM坐标+面积权重聚合</x:v>
      </x:c>
      <x:c r="P43" s="38" t="str">
        <x:v>中低</x:v>
      </x:c>
      <x:c r="Q43" s="38" t="str">
        <x:v>OSM way 234418243及建筑足迹；房天下1050户</x:v>
      </x:c>
      <x:c r="R43" s="38" t="str">
        <x:v>https://www.openstreetmap.org/way/234418243</x:v>
      </x:c>
      <x:c r="S43" s="2"/>
      <x:c r="T43" s="2"/>
      <x:c r="U43" s="2"/>
      <x:c r="V43" s="2"/>
    </x:row>
    <x:row r="44" ht="50" customHeight="1">
      <x:c r="A44" s="38" t="str">
        <x:v>C05-D04</x:v>
      </x:c>
      <x:c r="B44" s="38" t="str">
        <x:v>C05</x:v>
      </x:c>
      <x:c r="C44" s="38" t="str">
        <x:v>住宅建筑聚合区04</x:v>
      </x:c>
      <x:c r="D44" s="48" t="n">
        <x:v>116.4867216</x:v>
      </x:c>
      <x:c r="E44" s="48" t="n">
        <x:v>39.79693</x:v>
      </x:c>
      <x:c r="F44" s="38" t="str">
        <x:v>住宅建筑聚类（8个OSM足迹）</x:v>
      </x:c>
      <x:c r="G44" s="53" t="n">
        <x:v>66</x:v>
      </x:c>
      <x:c r="H44" s="54" t="n">
        <x:f>IF(OR(G44="",N44="否"),"",G44*'参数与来源'!$C$6)</x:f>
        <x:v>39.6</x:v>
      </x:c>
      <x:c r="I44" s="54" t="n">
        <x:f>IF(H44="","",H44*'参数与来源'!$C$7)</x:f>
        <x:v>79.2</x:v>
      </x:c>
      <x:c r="J44" s="38" t="str">
        <x:v>08:00—21:00（待核）</x:v>
      </x:c>
      <x:c r="K44" s="38" t="n">
        <x:v>3</x:v>
      </x:c>
      <x:c r="L44" s="38" t="str">
        <x:v>高层与别墅混合；逐栋户数待物业台账校准</x:v>
      </x:c>
      <x:c r="M44" s="38" t="str">
        <x:v>C05-RD04</x:v>
      </x:c>
      <x:c r="N44" s="38" t="str">
        <x:v>是</x:v>
      </x:c>
      <x:c r="O44" s="38" t="str">
        <x:v>OSM坐标+面积权重聚合</x:v>
      </x:c>
      <x:c r="P44" s="38" t="str">
        <x:v>中低</x:v>
      </x:c>
      <x:c r="Q44" s="38" t="str">
        <x:v>OSM way 234418243及建筑足迹；房天下1050户</x:v>
      </x:c>
      <x:c r="R44" s="38" t="str">
        <x:v>https://www.openstreetmap.org/way/234418243</x:v>
      </x:c>
      <x:c r="S44" s="2"/>
      <x:c r="T44" s="2"/>
      <x:c r="U44" s="2"/>
      <x:c r="V44" s="2"/>
    </x:row>
    <x:row r="45" ht="50" customHeight="1">
      <x:c r="A45" s="38" t="str">
        <x:v>C05-D05</x:v>
      </x:c>
      <x:c r="B45" s="38" t="str">
        <x:v>C05</x:v>
      </x:c>
      <x:c r="C45" s="38" t="str">
        <x:v>住宅建筑聚合区05</x:v>
      </x:c>
      <x:c r="D45" s="48" t="n">
        <x:v>116.4839923</x:v>
      </x:c>
      <x:c r="E45" s="48" t="n">
        <x:v>39.796926</x:v>
      </x:c>
      <x:c r="F45" s="38" t="str">
        <x:v>住宅建筑聚类（6个OSM足迹）</x:v>
      </x:c>
      <x:c r="G45" s="53" t="n">
        <x:v>169</x:v>
      </x:c>
      <x:c r="H45" s="54" t="n">
        <x:f>IF(OR(G45="",N45="否"),"",G45*'参数与来源'!$C$6)</x:f>
        <x:v>101.39999999999999</x:v>
      </x:c>
      <x:c r="I45" s="54" t="n">
        <x:f>IF(H45="","",H45*'参数与来源'!$C$7)</x:f>
        <x:v>202.79999999999998</x:v>
      </x:c>
      <x:c r="J45" s="38" t="str">
        <x:v>08:00—21:00（待核）</x:v>
      </x:c>
      <x:c r="K45" s="38" t="n">
        <x:v>3</x:v>
      </x:c>
      <x:c r="L45" s="38" t="str">
        <x:v>高层与别墅混合；逐栋户数待物业台账校准</x:v>
      </x:c>
      <x:c r="M45" s="38" t="str">
        <x:v>C05-RD05</x:v>
      </x:c>
      <x:c r="N45" s="38" t="str">
        <x:v>是</x:v>
      </x:c>
      <x:c r="O45" s="38" t="str">
        <x:v>OSM坐标+面积权重聚合</x:v>
      </x:c>
      <x:c r="P45" s="38" t="str">
        <x:v>中低</x:v>
      </x:c>
      <x:c r="Q45" s="38" t="str">
        <x:v>OSM way 234418243及建筑足迹；房天下1050户</x:v>
      </x:c>
      <x:c r="R45" s="38" t="str">
        <x:v>https://www.openstreetmap.org/way/234418243</x:v>
      </x:c>
      <x:c r="S45" s="2"/>
      <x:c r="T45" s="2"/>
      <x:c r="U45" s="2"/>
      <x:c r="V45" s="2"/>
    </x:row>
    <x:row r="46" ht="50" customHeight="1">
      <x:c r="A46" s="38" t="str">
        <x:v>C05-D06</x:v>
      </x:c>
      <x:c r="B46" s="38" t="str">
        <x:v>C05</x:v>
      </x:c>
      <x:c r="C46" s="38" t="str">
        <x:v>住宅建筑聚合区06</x:v>
      </x:c>
      <x:c r="D46" s="48" t="n">
        <x:v>116.4858605</x:v>
      </x:c>
      <x:c r="E46" s="48" t="n">
        <x:v>39.7968175</x:v>
      </x:c>
      <x:c r="F46" s="38" t="str">
        <x:v>住宅建筑聚类（15个OSM足迹）</x:v>
      </x:c>
      <x:c r="G46" s="53" t="n">
        <x:v>102</x:v>
      </x:c>
      <x:c r="H46" s="54" t="n">
        <x:f>IF(OR(G46="",N46="否"),"",G46*'参数与来源'!$C$6)</x:f>
        <x:v>61.199999999999996</x:v>
      </x:c>
      <x:c r="I46" s="54" t="n">
        <x:f>IF(H46="","",H46*'参数与来源'!$C$7)</x:f>
        <x:v>122.39999999999999</x:v>
      </x:c>
      <x:c r="J46" s="38" t="str">
        <x:v>08:00—21:00（待核）</x:v>
      </x:c>
      <x:c r="K46" s="38" t="n">
        <x:v>3</x:v>
      </x:c>
      <x:c r="L46" s="38" t="str">
        <x:v>高层与别墅混合；逐栋户数待物业台账校准</x:v>
      </x:c>
      <x:c r="M46" s="38" t="str">
        <x:v>C05-RD06</x:v>
      </x:c>
      <x:c r="N46" s="38" t="str">
        <x:v>是</x:v>
      </x:c>
      <x:c r="O46" s="38" t="str">
        <x:v>OSM坐标+面积权重聚合</x:v>
      </x:c>
      <x:c r="P46" s="38" t="str">
        <x:v>中低</x:v>
      </x:c>
      <x:c r="Q46" s="38" t="str">
        <x:v>OSM way 234418243及建筑足迹；房天下1050户</x:v>
      </x:c>
      <x:c r="R46" s="38" t="str">
        <x:v>https://www.openstreetmap.org/way/234418243</x:v>
      </x:c>
      <x:c r="S46" s="2"/>
      <x:c r="T46" s="2"/>
      <x:c r="U46" s="2"/>
      <x:c r="V46" s="2"/>
    </x:row>
    <x:row r="47" ht="50" customHeight="1">
      <x:c r="A47" s="38" t="str">
        <x:v>C05-D07</x:v>
      </x:c>
      <x:c r="B47" s="38" t="str">
        <x:v>C05</x:v>
      </x:c>
      <x:c r="C47" s="38" t="str">
        <x:v>住宅建筑聚合区07</x:v>
      </x:c>
      <x:c r="D47" s="48" t="n">
        <x:v>116.4829227</x:v>
      </x:c>
      <x:c r="E47" s="48" t="n">
        <x:v>39.7965668</x:v>
      </x:c>
      <x:c r="F47" s="38" t="str">
        <x:v>住宅建筑聚类（2个OSM足迹）</x:v>
      </x:c>
      <x:c r="G47" s="53" t="n">
        <x:v>107</x:v>
      </x:c>
      <x:c r="H47" s="54" t="n">
        <x:f>IF(OR(G47="",N47="否"),"",G47*'参数与来源'!$C$6)</x:f>
        <x:v>64.2</x:v>
      </x:c>
      <x:c r="I47" s="54" t="n">
        <x:f>IF(H47="","",H47*'参数与来源'!$C$7)</x:f>
        <x:v>128.4</x:v>
      </x:c>
      <x:c r="J47" s="38" t="str">
        <x:v>08:00—21:00（待核）</x:v>
      </x:c>
      <x:c r="K47" s="38" t="n">
        <x:v>3</x:v>
      </x:c>
      <x:c r="L47" s="38" t="str">
        <x:v>高层与别墅混合；逐栋户数待物业台账校准</x:v>
      </x:c>
      <x:c r="M47" s="38" t="str">
        <x:v>C05-RD07</x:v>
      </x:c>
      <x:c r="N47" s="38" t="str">
        <x:v>是</x:v>
      </x:c>
      <x:c r="O47" s="38" t="str">
        <x:v>OSM坐标+面积权重聚合</x:v>
      </x:c>
      <x:c r="P47" s="38" t="str">
        <x:v>中低</x:v>
      </x:c>
      <x:c r="Q47" s="38" t="str">
        <x:v>OSM way 234418243及建筑足迹；房天下1050户</x:v>
      </x:c>
      <x:c r="R47" s="38" t="str">
        <x:v>https://www.openstreetmap.org/way/234418243</x:v>
      </x:c>
      <x:c r="S47" s="2"/>
      <x:c r="T47" s="2"/>
      <x:c r="U47" s="2"/>
      <x:c r="V47" s="2"/>
    </x:row>
    <x:row r="48" ht="50" customHeight="1">
      <x:c r="A48" s="38" t="str">
        <x:v>C05-D08</x:v>
      </x:c>
      <x:c r="B48" s="38" t="str">
        <x:v>C05</x:v>
      </x:c>
      <x:c r="C48" s="38" t="str">
        <x:v>住宅建筑聚合区08</x:v>
      </x:c>
      <x:c r="D48" s="48" t="n">
        <x:v>116.4853452</x:v>
      </x:c>
      <x:c r="E48" s="48" t="n">
        <x:v>39.796176</x:v>
      </x:c>
      <x:c r="F48" s="38" t="str">
        <x:v>住宅建筑聚类（3个OSM足迹）</x:v>
      </x:c>
      <x:c r="G48" s="53" t="n">
        <x:v>46</x:v>
      </x:c>
      <x:c r="H48" s="54" t="n">
        <x:f>IF(OR(G48="",N48="否"),"",G48*'参数与来源'!$C$6)</x:f>
        <x:v>27.599999999999998</x:v>
      </x:c>
      <x:c r="I48" s="54" t="n">
        <x:f>IF(H48="","",H48*'参数与来源'!$C$7)</x:f>
        <x:v>55.199999999999996</x:v>
      </x:c>
      <x:c r="J48" s="38" t="str">
        <x:v>08:00—21:00（待核）</x:v>
      </x:c>
      <x:c r="K48" s="38" t="n">
        <x:v>3</x:v>
      </x:c>
      <x:c r="L48" s="38" t="str">
        <x:v>高层与别墅混合；逐栋户数待物业台账校准</x:v>
      </x:c>
      <x:c r="M48" s="38" t="str">
        <x:v>C05-RD08</x:v>
      </x:c>
      <x:c r="N48" s="38" t="str">
        <x:v>是</x:v>
      </x:c>
      <x:c r="O48" s="38" t="str">
        <x:v>OSM坐标+面积权重聚合</x:v>
      </x:c>
      <x:c r="P48" s="38" t="str">
        <x:v>中低</x:v>
      </x:c>
      <x:c r="Q48" s="38" t="str">
        <x:v>OSM way 234418243及建筑足迹；房天下1050户</x:v>
      </x:c>
      <x:c r="R48" s="38" t="str">
        <x:v>https://www.openstreetmap.org/way/234418243</x:v>
      </x:c>
      <x:c r="S48" s="2"/>
      <x:c r="T48" s="2"/>
      <x:c r="U48" s="2"/>
      <x:c r="V48" s="2"/>
    </x:row>
    <x:row r="49" ht="50" customHeight="1">
      <x:c r="A49" s="38" t="str">
        <x:v>C05-D09</x:v>
      </x:c>
      <x:c r="B49" s="38" t="str">
        <x:v>C05</x:v>
      </x:c>
      <x:c r="C49" s="38" t="str">
        <x:v>住宅建筑聚合区09</x:v>
      </x:c>
      <x:c r="D49" s="48" t="n">
        <x:v>116.4845193</x:v>
      </x:c>
      <x:c r="E49" s="48" t="n">
        <x:v>39.7960583</x:v>
      </x:c>
      <x:c r="F49" s="38" t="str">
        <x:v>住宅建筑聚类（6个OSM足迹）</x:v>
      </x:c>
      <x:c r="G49" s="53" t="n">
        <x:v>103</x:v>
      </x:c>
      <x:c r="H49" s="54" t="n">
        <x:f>IF(OR(G49="",N49="否"),"",G49*'参数与来源'!$C$6)</x:f>
        <x:v>61.8</x:v>
      </x:c>
      <x:c r="I49" s="54" t="n">
        <x:f>IF(H49="","",H49*'参数与来源'!$C$7)</x:f>
        <x:v>123.6</x:v>
      </x:c>
      <x:c r="J49" s="38" t="str">
        <x:v>08:00—21:00（待核）</x:v>
      </x:c>
      <x:c r="K49" s="38" t="n">
        <x:v>3</x:v>
      </x:c>
      <x:c r="L49" s="38" t="str">
        <x:v>高层与别墅混合；逐栋户数待物业台账校准</x:v>
      </x:c>
      <x:c r="M49" s="38" t="str">
        <x:v>C05-RD09</x:v>
      </x:c>
      <x:c r="N49" s="38" t="str">
        <x:v>是</x:v>
      </x:c>
      <x:c r="O49" s="38" t="str">
        <x:v>OSM坐标+面积权重聚合</x:v>
      </x:c>
      <x:c r="P49" s="38" t="str">
        <x:v>中低</x:v>
      </x:c>
      <x:c r="Q49" s="38" t="str">
        <x:v>OSM way 234418243及建筑足迹；房天下1050户</x:v>
      </x:c>
      <x:c r="R49" s="38" t="str">
        <x:v>https://www.openstreetmap.org/way/234418243</x:v>
      </x:c>
      <x:c r="S49" s="2"/>
      <x:c r="T49" s="2"/>
      <x:c r="U49" s="2"/>
      <x:c r="V49" s="2"/>
    </x:row>
    <x:row r="50" ht="50" customHeight="1">
      <x:c r="A50" s="38" t="str">
        <x:v>C05-D10</x:v>
      </x:c>
      <x:c r="B50" s="38" t="str">
        <x:v>C05</x:v>
      </x:c>
      <x:c r="C50" s="38" t="str">
        <x:v>住宅建筑聚合区10</x:v>
      </x:c>
      <x:c r="D50" s="48" t="n">
        <x:v>116.4835214</x:v>
      </x:c>
      <x:c r="E50" s="48" t="n">
        <x:v>39.7958116</x:v>
      </x:c>
      <x:c r="F50" s="38" t="str">
        <x:v>住宅建筑聚类（5个OSM足迹）</x:v>
      </x:c>
      <x:c r="G50" s="53" t="n">
        <x:v>146</x:v>
      </x:c>
      <x:c r="H50" s="54" t="n">
        <x:f>IF(OR(G50="",N50="否"),"",G50*'参数与来源'!$C$6)</x:f>
        <x:v>87.6</x:v>
      </x:c>
      <x:c r="I50" s="54" t="n">
        <x:f>IF(H50="","",H50*'参数与来源'!$C$7)</x:f>
        <x:v>175.2</x:v>
      </x:c>
      <x:c r="J50" s="38" t="str">
        <x:v>08:00—21:00（待核）</x:v>
      </x:c>
      <x:c r="K50" s="38" t="n">
        <x:v>3</x:v>
      </x:c>
      <x:c r="L50" s="38" t="str">
        <x:v>高层与别墅混合；逐栋户数待物业台账校准</x:v>
      </x:c>
      <x:c r="M50" s="38" t="str">
        <x:v>C05-RD10</x:v>
      </x:c>
      <x:c r="N50" s="38" t="str">
        <x:v>是</x:v>
      </x:c>
      <x:c r="O50" s="38" t="str">
        <x:v>OSM坐标+面积权重聚合</x:v>
      </x:c>
      <x:c r="P50" s="38" t="str">
        <x:v>中低</x:v>
      </x:c>
      <x:c r="Q50" s="38" t="str">
        <x:v>OSM way 234418243及建筑足迹；房天下1050户</x:v>
      </x:c>
      <x:c r="R50" s="38" t="str">
        <x:v>https://www.openstreetmap.org/way/234418243</x:v>
      </x:c>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row r="66">
      <x:c r="A66" s="2"/>
      <x:c r="B66" s="2"/>
      <x:c r="C66" s="2"/>
      <x:c r="D66" s="2"/>
      <x:c r="E66" s="2"/>
      <x:c r="F66" s="2"/>
      <x:c r="G66" s="2"/>
      <x:c r="H66" s="2"/>
      <x:c r="I66" s="2"/>
      <x:c r="J66" s="2"/>
      <x:c r="K66" s="2"/>
      <x:c r="L66" s="2"/>
      <x:c r="M66" s="2"/>
      <x:c r="N66" s="2"/>
      <x:c r="O66" s="2"/>
      <x:c r="P66" s="2"/>
      <x:c r="Q66" s="2"/>
      <x:c r="R66" s="2"/>
      <x:c r="S66" s="2"/>
      <x:c r="T66" s="2"/>
      <x:c r="U66" s="2"/>
      <x:c r="V66" s="2"/>
    </x:row>
    <x:row r="67">
      <x:c r="A67" s="2"/>
      <x:c r="B67" s="2"/>
      <x:c r="C67" s="2"/>
      <x:c r="D67" s="2"/>
      <x:c r="E67" s="2"/>
      <x:c r="F67" s="2"/>
      <x:c r="G67" s="2"/>
      <x:c r="H67" s="2"/>
      <x:c r="I67" s="2"/>
      <x:c r="J67" s="2"/>
      <x:c r="K67" s="2"/>
      <x:c r="L67" s="2"/>
      <x:c r="M67" s="2"/>
      <x:c r="N67" s="2"/>
      <x:c r="O67" s="2"/>
      <x:c r="P67" s="2"/>
      <x:c r="Q67" s="2"/>
      <x:c r="R67" s="2"/>
      <x:c r="S67" s="2"/>
      <x:c r="T67" s="2"/>
      <x:c r="U67" s="2"/>
      <x:c r="V67" s="2"/>
    </x:row>
    <x:row r="68">
      <x:c r="A68" s="2"/>
      <x:c r="B68" s="2"/>
      <x:c r="C68" s="2"/>
      <x:c r="D68" s="2"/>
      <x:c r="E68" s="2"/>
      <x:c r="F68" s="2"/>
      <x:c r="G68" s="2"/>
      <x:c r="H68" s="2"/>
      <x:c r="I68" s="2"/>
      <x:c r="J68" s="2"/>
      <x:c r="K68" s="2"/>
      <x:c r="L68" s="2"/>
      <x:c r="M68" s="2"/>
      <x:c r="N68" s="2"/>
      <x:c r="O68" s="2"/>
      <x:c r="P68" s="2"/>
      <x:c r="Q68" s="2"/>
      <x:c r="R68" s="2"/>
      <x:c r="S68" s="2"/>
      <x:c r="T68" s="2"/>
      <x:c r="U68" s="2"/>
      <x:c r="V68" s="2"/>
    </x:row>
    <x:row r="69">
      <x:c r="A69" s="2"/>
      <x:c r="B69" s="2"/>
      <x:c r="C69" s="2"/>
      <x:c r="D69" s="2"/>
      <x:c r="E69" s="2"/>
      <x:c r="F69" s="2"/>
      <x:c r="G69" s="2"/>
      <x:c r="H69" s="2"/>
      <x:c r="I69" s="2"/>
      <x:c r="J69" s="2"/>
      <x:c r="K69" s="2"/>
      <x:c r="L69" s="2"/>
      <x:c r="M69" s="2"/>
      <x:c r="N69" s="2"/>
      <x:c r="O69" s="2"/>
      <x:c r="P69" s="2"/>
      <x:c r="Q69" s="2"/>
      <x:c r="R69" s="2"/>
      <x:c r="S69" s="2"/>
      <x:c r="T69" s="2"/>
      <x:c r="U69" s="2"/>
      <x:c r="V69" s="2"/>
    </x:row>
    <x:row r="70">
      <x:c r="A70" s="2"/>
      <x:c r="B70" s="2"/>
      <x:c r="C70" s="2"/>
      <x:c r="D70" s="2"/>
      <x:c r="E70" s="2"/>
      <x:c r="F70" s="2"/>
      <x:c r="G70" s="2"/>
      <x:c r="H70" s="2"/>
      <x:c r="I70" s="2"/>
      <x:c r="J70" s="2"/>
      <x:c r="K70" s="2"/>
      <x:c r="L70" s="2"/>
      <x:c r="M70" s="2"/>
      <x:c r="N70" s="2"/>
      <x:c r="O70" s="2"/>
      <x:c r="P70" s="2"/>
      <x:c r="Q70" s="2"/>
      <x:c r="R70" s="2"/>
      <x:c r="S70" s="2"/>
      <x:c r="T70" s="2"/>
      <x:c r="U70" s="2"/>
      <x:c r="V70" s="2"/>
    </x:row>
    <x:row r="71">
      <x:c r="A71" s="2"/>
      <x:c r="B71" s="2"/>
      <x:c r="C71" s="2"/>
      <x:c r="D71" s="2"/>
      <x:c r="E71" s="2"/>
      <x:c r="F71" s="2"/>
      <x:c r="G71" s="2"/>
      <x:c r="H71" s="2"/>
      <x:c r="I71" s="2"/>
      <x:c r="J71" s="2"/>
      <x:c r="K71" s="2"/>
      <x:c r="L71" s="2"/>
      <x:c r="M71" s="2"/>
      <x:c r="N71" s="2"/>
      <x:c r="O71" s="2"/>
      <x:c r="P71" s="2"/>
      <x:c r="Q71" s="2"/>
      <x:c r="R71" s="2"/>
      <x:c r="S71" s="2"/>
      <x:c r="T71" s="2"/>
      <x:c r="U71" s="2"/>
      <x:c r="V71" s="2"/>
    </x:row>
    <x:row r="72">
      <x:c r="A72" s="2"/>
      <x:c r="B72" s="2"/>
      <x:c r="C72" s="2"/>
      <x:c r="D72" s="2"/>
      <x:c r="E72" s="2"/>
      <x:c r="F72" s="2"/>
      <x:c r="G72" s="2"/>
      <x:c r="H72" s="2"/>
      <x:c r="I72" s="2"/>
      <x:c r="J72" s="2"/>
      <x:c r="K72" s="2"/>
      <x:c r="L72" s="2"/>
      <x:c r="M72" s="2"/>
      <x:c r="N72" s="2"/>
      <x:c r="O72" s="2"/>
      <x:c r="P72" s="2"/>
      <x:c r="Q72" s="2"/>
      <x:c r="R72" s="2"/>
      <x:c r="S72" s="2"/>
      <x:c r="T72" s="2"/>
      <x:c r="U72" s="2"/>
      <x:c r="V72" s="2"/>
    </x:row>
    <x:row r="73">
      <x:c r="A73" s="2"/>
      <x:c r="B73" s="2"/>
      <x:c r="C73" s="2"/>
      <x:c r="D73" s="2"/>
      <x:c r="E73" s="2"/>
      <x:c r="F73" s="2"/>
      <x:c r="G73" s="2"/>
      <x:c r="H73" s="2"/>
      <x:c r="I73" s="2"/>
      <x:c r="J73" s="2"/>
      <x:c r="K73" s="2"/>
      <x:c r="L73" s="2"/>
      <x:c r="M73" s="2"/>
      <x:c r="N73" s="2"/>
      <x:c r="O73" s="2"/>
      <x:c r="P73" s="2"/>
      <x:c r="Q73" s="2"/>
      <x:c r="R73" s="2"/>
      <x:c r="S73" s="2"/>
      <x:c r="T73" s="2"/>
      <x:c r="U73" s="2"/>
      <x:c r="V73" s="2"/>
    </x:row>
    <x:row r="74">
      <x:c r="A74" s="2"/>
      <x:c r="B74" s="2"/>
      <x:c r="C74" s="2"/>
      <x:c r="D74" s="2"/>
      <x:c r="E74" s="2"/>
      <x:c r="F74" s="2"/>
      <x:c r="G74" s="2"/>
      <x:c r="H74" s="2"/>
      <x:c r="I74" s="2"/>
      <x:c r="J74" s="2"/>
      <x:c r="K74" s="2"/>
      <x:c r="L74" s="2"/>
      <x:c r="M74" s="2"/>
      <x:c r="N74" s="2"/>
      <x:c r="O74" s="2"/>
      <x:c r="P74" s="2"/>
      <x:c r="Q74" s="2"/>
      <x:c r="R74" s="2"/>
      <x:c r="S74" s="2"/>
      <x:c r="T74" s="2"/>
      <x:c r="U74" s="2"/>
      <x:c r="V74" s="2"/>
    </x:row>
    <x:row r="75">
      <x:c r="A75" s="2"/>
      <x:c r="B75" s="2"/>
      <x:c r="C75" s="2"/>
      <x:c r="D75" s="2"/>
      <x:c r="E75" s="2"/>
      <x:c r="F75" s="2"/>
      <x:c r="G75" s="2"/>
      <x:c r="H75" s="2"/>
      <x:c r="I75" s="2"/>
      <x:c r="J75" s="2"/>
      <x:c r="K75" s="2"/>
      <x:c r="L75" s="2"/>
      <x:c r="M75" s="2"/>
      <x:c r="N75" s="2"/>
      <x:c r="O75" s="2"/>
      <x:c r="P75" s="2"/>
      <x:c r="Q75" s="2"/>
      <x:c r="R75" s="2"/>
      <x:c r="S75" s="2"/>
      <x:c r="T75" s="2"/>
      <x:c r="U75" s="2"/>
      <x:c r="V75" s="2"/>
    </x:row>
    <x:row r="76">
      <x:c r="A76" s="2"/>
      <x:c r="B76" s="2"/>
      <x:c r="C76" s="2"/>
      <x:c r="D76" s="2"/>
      <x:c r="E76" s="2"/>
      <x:c r="F76" s="2"/>
      <x:c r="G76" s="2"/>
      <x:c r="H76" s="2"/>
      <x:c r="I76" s="2"/>
      <x:c r="J76" s="2"/>
      <x:c r="K76" s="2"/>
      <x:c r="L76" s="2"/>
      <x:c r="M76" s="2"/>
      <x:c r="N76" s="2"/>
      <x:c r="O76" s="2"/>
      <x:c r="P76" s="2"/>
      <x:c r="Q76" s="2"/>
      <x:c r="R76" s="2"/>
      <x:c r="S76" s="2"/>
      <x:c r="T76" s="2"/>
      <x:c r="U76" s="2"/>
      <x:c r="V76" s="2"/>
    </x:row>
    <x:row r="77">
      <x:c r="A77" s="2"/>
      <x:c r="B77" s="2"/>
      <x:c r="C77" s="2"/>
      <x:c r="D77" s="2"/>
      <x:c r="E77" s="2"/>
      <x:c r="F77" s="2"/>
      <x:c r="G77" s="2"/>
      <x:c r="H77" s="2"/>
      <x:c r="I77" s="2"/>
      <x:c r="J77" s="2"/>
      <x:c r="K77" s="2"/>
      <x:c r="L77" s="2"/>
      <x:c r="M77" s="2"/>
      <x:c r="N77" s="2"/>
      <x:c r="O77" s="2"/>
      <x:c r="P77" s="2"/>
      <x:c r="Q77" s="2"/>
      <x:c r="R77" s="2"/>
      <x:c r="S77" s="2"/>
      <x:c r="T77" s="2"/>
      <x:c r="U77" s="2"/>
      <x:c r="V77" s="2"/>
    </x:row>
    <x:row r="78">
      <x:c r="A78" s="2"/>
      <x:c r="B78" s="2"/>
      <x:c r="C78" s="2"/>
      <x:c r="D78" s="2"/>
      <x:c r="E78" s="2"/>
      <x:c r="F78" s="2"/>
      <x:c r="G78" s="2"/>
      <x:c r="H78" s="2"/>
      <x:c r="I78" s="2"/>
      <x:c r="J78" s="2"/>
      <x:c r="K78" s="2"/>
      <x:c r="L78" s="2"/>
      <x:c r="M78" s="2"/>
      <x:c r="N78" s="2"/>
      <x:c r="O78" s="2"/>
      <x:c r="P78" s="2"/>
      <x:c r="Q78" s="2"/>
      <x:c r="R78" s="2"/>
      <x:c r="S78" s="2"/>
      <x:c r="T78" s="2"/>
      <x:c r="U78" s="2"/>
      <x:c r="V78" s="2"/>
    </x:row>
    <x:row r="79">
      <x:c r="A79" s="2"/>
      <x:c r="B79" s="2"/>
      <x:c r="C79" s="2"/>
      <x:c r="D79" s="2"/>
      <x:c r="E79" s="2"/>
      <x:c r="F79" s="2"/>
      <x:c r="G79" s="2"/>
      <x:c r="H79" s="2"/>
      <x:c r="I79" s="2"/>
      <x:c r="J79" s="2"/>
      <x:c r="K79" s="2"/>
      <x:c r="L79" s="2"/>
      <x:c r="M79" s="2"/>
      <x:c r="N79" s="2"/>
      <x:c r="O79" s="2"/>
      <x:c r="P79" s="2"/>
      <x:c r="Q79" s="2"/>
      <x:c r="R79" s="2"/>
      <x:c r="S79" s="2"/>
      <x:c r="T79" s="2"/>
      <x:c r="U79" s="2"/>
      <x:c r="V79" s="2"/>
    </x:row>
    <x:row r="80">
      <x:c r="A80" s="2"/>
      <x:c r="B80" s="2"/>
      <x:c r="C80" s="2"/>
      <x:c r="D80" s="2"/>
      <x:c r="E80" s="2"/>
      <x:c r="F80" s="2"/>
      <x:c r="G80" s="2"/>
      <x:c r="H80" s="2"/>
      <x:c r="I80" s="2"/>
      <x:c r="J80" s="2"/>
      <x:c r="K80" s="2"/>
      <x:c r="L80" s="2"/>
      <x:c r="M80" s="2"/>
      <x:c r="N80" s="2"/>
      <x:c r="O80" s="2"/>
      <x:c r="P80" s="2"/>
      <x:c r="Q80" s="2"/>
      <x:c r="R80" s="2"/>
      <x:c r="S80" s="2"/>
      <x:c r="T80" s="2"/>
      <x:c r="U80" s="2"/>
      <x:c r="V80" s="2"/>
    </x:row>
    <x:row r="81">
      <x:c r="A81" s="2"/>
      <x:c r="B81" s="2"/>
      <x:c r="C81" s="2"/>
      <x:c r="D81" s="2"/>
      <x:c r="E81" s="2"/>
      <x:c r="F81" s="2"/>
      <x:c r="G81" s="2"/>
      <x:c r="H81" s="2"/>
      <x:c r="I81" s="2"/>
      <x:c r="J81" s="2"/>
      <x:c r="K81" s="2"/>
      <x:c r="L81" s="2"/>
      <x:c r="M81" s="2"/>
      <x:c r="N81" s="2"/>
      <x:c r="O81" s="2"/>
      <x:c r="P81" s="2"/>
      <x:c r="Q81" s="2"/>
      <x:c r="R81" s="2"/>
      <x:c r="S81" s="2"/>
      <x:c r="T81" s="2"/>
      <x:c r="U81" s="2"/>
      <x:c r="V81" s="2"/>
    </x:row>
    <x:row r="82">
      <x:c r="A82" s="2"/>
      <x:c r="B82" s="2"/>
      <x:c r="C82" s="2"/>
      <x:c r="D82" s="2"/>
      <x:c r="E82" s="2"/>
      <x:c r="F82" s="2"/>
      <x:c r="G82" s="2"/>
      <x:c r="H82" s="2"/>
      <x:c r="I82" s="2"/>
      <x:c r="J82" s="2"/>
      <x:c r="K82" s="2"/>
      <x:c r="L82" s="2"/>
      <x:c r="M82" s="2"/>
      <x:c r="N82" s="2"/>
      <x:c r="O82" s="2"/>
      <x:c r="P82" s="2"/>
      <x:c r="Q82" s="2"/>
      <x:c r="R82" s="2"/>
      <x:c r="S82" s="2"/>
      <x:c r="T82" s="2"/>
      <x:c r="U82" s="2"/>
      <x:c r="V82" s="2"/>
    </x:row>
    <x:row r="83">
      <x:c r="A83" s="2"/>
      <x:c r="B83" s="2"/>
      <x:c r="C83" s="2"/>
      <x:c r="D83" s="2"/>
      <x:c r="E83" s="2"/>
      <x:c r="F83" s="2"/>
      <x:c r="G83" s="2"/>
      <x:c r="H83" s="2"/>
      <x:c r="I83" s="2"/>
      <x:c r="J83" s="2"/>
      <x:c r="K83" s="2"/>
      <x:c r="L83" s="2"/>
      <x:c r="M83" s="2"/>
      <x:c r="N83" s="2"/>
      <x:c r="O83" s="2"/>
      <x:c r="P83" s="2"/>
      <x:c r="Q83" s="2"/>
      <x:c r="R83" s="2"/>
      <x:c r="S83" s="2"/>
      <x:c r="T83" s="2"/>
      <x:c r="U83" s="2"/>
      <x:c r="V83" s="2"/>
    </x:row>
    <x:row r="84">
      <x:c r="A84" s="2"/>
      <x:c r="B84" s="2"/>
      <x:c r="C84" s="2"/>
      <x:c r="D84" s="2"/>
      <x:c r="E84" s="2"/>
      <x:c r="F84" s="2"/>
      <x:c r="G84" s="2"/>
      <x:c r="H84" s="2"/>
      <x:c r="I84" s="2"/>
      <x:c r="J84" s="2"/>
      <x:c r="K84" s="2"/>
      <x:c r="L84" s="2"/>
      <x:c r="M84" s="2"/>
      <x:c r="N84" s="2"/>
      <x:c r="O84" s="2"/>
      <x:c r="P84" s="2"/>
      <x:c r="Q84" s="2"/>
      <x:c r="R84" s="2"/>
      <x:c r="S84" s="2"/>
      <x:c r="T84" s="2"/>
      <x:c r="U84" s="2"/>
      <x:c r="V84" s="2"/>
    </x:row>
    <x:row r="85">
      <x:c r="A85" s="2"/>
      <x:c r="B85" s="2"/>
      <x:c r="C85" s="2"/>
      <x:c r="D85" s="2"/>
      <x:c r="E85" s="2"/>
      <x:c r="F85" s="2"/>
      <x:c r="G85" s="2"/>
      <x:c r="H85" s="2"/>
      <x:c r="I85" s="2"/>
      <x:c r="J85" s="2"/>
      <x:c r="K85" s="2"/>
      <x:c r="L85" s="2"/>
      <x:c r="M85" s="2"/>
      <x:c r="N85" s="2"/>
      <x:c r="O85" s="2"/>
      <x:c r="P85" s="2"/>
      <x:c r="Q85" s="2"/>
      <x:c r="R85" s="2"/>
      <x:c r="S85" s="2"/>
      <x:c r="T85" s="2"/>
      <x:c r="U85" s="2"/>
      <x:c r="V85" s="2"/>
    </x:row>
    <x:row r="86">
      <x:c r="A86" s="2"/>
      <x:c r="B86" s="2"/>
      <x:c r="C86" s="2"/>
      <x:c r="D86" s="2"/>
      <x:c r="E86" s="2"/>
      <x:c r="F86" s="2"/>
      <x:c r="G86" s="2"/>
      <x:c r="H86" s="2"/>
      <x:c r="I86" s="2"/>
      <x:c r="J86" s="2"/>
      <x:c r="K86" s="2"/>
      <x:c r="L86" s="2"/>
      <x:c r="M86" s="2"/>
      <x:c r="N86" s="2"/>
      <x:c r="O86" s="2"/>
      <x:c r="P86" s="2"/>
      <x:c r="Q86" s="2"/>
      <x:c r="R86" s="2"/>
      <x:c r="S86" s="2"/>
      <x:c r="T86" s="2"/>
      <x:c r="U86" s="2"/>
      <x:c r="V86" s="2"/>
    </x:row>
    <x:row r="87">
      <x:c r="A87" s="2"/>
      <x:c r="B87" s="2"/>
      <x:c r="C87" s="2"/>
      <x:c r="D87" s="2"/>
      <x:c r="E87" s="2"/>
      <x:c r="F87" s="2"/>
      <x:c r="G87" s="2"/>
      <x:c r="H87" s="2"/>
      <x:c r="I87" s="2"/>
      <x:c r="J87" s="2"/>
      <x:c r="K87" s="2"/>
      <x:c r="L87" s="2"/>
      <x:c r="M87" s="2"/>
      <x:c r="N87" s="2"/>
      <x:c r="O87" s="2"/>
      <x:c r="P87" s="2"/>
      <x:c r="Q87" s="2"/>
      <x:c r="R87" s="2"/>
      <x:c r="S87" s="2"/>
      <x:c r="T87" s="2"/>
      <x:c r="U87" s="2"/>
      <x:c r="V87" s="2"/>
    </x:row>
    <x:row r="88">
      <x:c r="A88" s="2"/>
      <x:c r="B88" s="2"/>
      <x:c r="C88" s="2"/>
      <x:c r="D88" s="2"/>
      <x:c r="E88" s="2"/>
      <x:c r="F88" s="2"/>
      <x:c r="G88" s="2"/>
      <x:c r="H88" s="2"/>
      <x:c r="I88" s="2"/>
      <x:c r="J88" s="2"/>
      <x:c r="K88" s="2"/>
      <x:c r="L88" s="2"/>
      <x:c r="M88" s="2"/>
      <x:c r="N88" s="2"/>
      <x:c r="O88" s="2"/>
      <x:c r="P88" s="2"/>
      <x:c r="Q88" s="2"/>
      <x:c r="R88" s="2"/>
      <x:c r="S88" s="2"/>
      <x:c r="T88" s="2"/>
      <x:c r="U88" s="2"/>
      <x:c r="V88" s="2"/>
    </x:row>
    <x:row r="89">
      <x:c r="A89" s="2"/>
      <x:c r="B89" s="2"/>
      <x:c r="C89" s="2"/>
      <x:c r="D89" s="2"/>
      <x:c r="E89" s="2"/>
      <x:c r="F89" s="2"/>
      <x:c r="G89" s="2"/>
      <x:c r="H89" s="2"/>
      <x:c r="I89" s="2"/>
      <x:c r="J89" s="2"/>
      <x:c r="K89" s="2"/>
      <x:c r="L89" s="2"/>
      <x:c r="M89" s="2"/>
      <x:c r="N89" s="2"/>
      <x:c r="O89" s="2"/>
      <x:c r="P89" s="2"/>
      <x:c r="Q89" s="2"/>
      <x:c r="R89" s="2"/>
      <x:c r="S89" s="2"/>
      <x:c r="T89" s="2"/>
      <x:c r="U89" s="2"/>
      <x:c r="V89" s="2"/>
    </x:row>
    <x:row r="90">
      <x:c r="A90" s="2"/>
      <x:c r="B90" s="2"/>
      <x:c r="C90" s="2"/>
      <x:c r="D90" s="2"/>
      <x:c r="E90" s="2"/>
      <x:c r="F90" s="2"/>
      <x:c r="G90" s="2"/>
      <x:c r="H90" s="2"/>
      <x:c r="I90" s="2"/>
      <x:c r="J90" s="2"/>
      <x:c r="K90" s="2"/>
      <x:c r="L90" s="2"/>
      <x:c r="M90" s="2"/>
      <x:c r="N90" s="2"/>
      <x:c r="O90" s="2"/>
      <x:c r="P90" s="2"/>
      <x:c r="Q90" s="2"/>
      <x:c r="R90" s="2"/>
      <x:c r="S90" s="2"/>
      <x:c r="T90" s="2"/>
      <x:c r="U90" s="2"/>
      <x:c r="V90" s="2"/>
    </x:row>
    <x:row r="91">
      <x:c r="A91" s="2"/>
      <x:c r="B91" s="2"/>
      <x:c r="C91" s="2"/>
      <x:c r="D91" s="2"/>
      <x:c r="E91" s="2"/>
      <x:c r="F91" s="2"/>
      <x:c r="G91" s="2"/>
      <x:c r="H91" s="2"/>
      <x:c r="I91" s="2"/>
      <x:c r="J91" s="2"/>
      <x:c r="K91" s="2"/>
      <x:c r="L91" s="2"/>
      <x:c r="M91" s="2"/>
      <x:c r="N91" s="2"/>
      <x:c r="O91" s="2"/>
      <x:c r="P91" s="2"/>
      <x:c r="Q91" s="2"/>
      <x:c r="R91" s="2"/>
      <x:c r="S91" s="2"/>
      <x:c r="T91" s="2"/>
      <x:c r="U91" s="2"/>
      <x:c r="V91" s="2"/>
    </x:row>
    <x:row r="92">
      <x:c r="A92" s="2"/>
      <x:c r="B92" s="2"/>
      <x:c r="C92" s="2"/>
      <x:c r="D92" s="2"/>
      <x:c r="E92" s="2"/>
      <x:c r="F92" s="2"/>
      <x:c r="G92" s="2"/>
      <x:c r="H92" s="2"/>
      <x:c r="I92" s="2"/>
      <x:c r="J92" s="2"/>
      <x:c r="K92" s="2"/>
      <x:c r="L92" s="2"/>
      <x:c r="M92" s="2"/>
      <x:c r="N92" s="2"/>
      <x:c r="O92" s="2"/>
      <x:c r="P92" s="2"/>
      <x:c r="Q92" s="2"/>
      <x:c r="R92" s="2"/>
      <x:c r="S92" s="2"/>
      <x:c r="T92" s="2"/>
      <x:c r="U92" s="2"/>
      <x:c r="V92" s="2"/>
    </x:row>
    <x:row r="93">
      <x:c r="A93" s="2"/>
      <x:c r="B93" s="2"/>
      <x:c r="C93" s="2"/>
      <x:c r="D93" s="2"/>
      <x:c r="E93" s="2"/>
      <x:c r="F93" s="2"/>
      <x:c r="G93" s="2"/>
      <x:c r="H93" s="2"/>
      <x:c r="I93" s="2"/>
      <x:c r="J93" s="2"/>
      <x:c r="K93" s="2"/>
      <x:c r="L93" s="2"/>
      <x:c r="M93" s="2"/>
      <x:c r="N93" s="2"/>
      <x:c r="O93" s="2"/>
      <x:c r="P93" s="2"/>
      <x:c r="Q93" s="2"/>
      <x:c r="R93" s="2"/>
      <x:c r="S93" s="2"/>
      <x:c r="T93" s="2"/>
      <x:c r="U93" s="2"/>
      <x:c r="V93" s="2"/>
    </x:row>
    <x:row r="94">
      <x:c r="A94" s="2"/>
      <x:c r="B94" s="2"/>
      <x:c r="C94" s="2"/>
      <x:c r="D94" s="2"/>
      <x:c r="E94" s="2"/>
      <x:c r="F94" s="2"/>
      <x:c r="G94" s="2"/>
      <x:c r="H94" s="2"/>
      <x:c r="I94" s="2"/>
      <x:c r="J94" s="2"/>
      <x:c r="K94" s="2"/>
      <x:c r="L94" s="2"/>
      <x:c r="M94" s="2"/>
      <x:c r="N94" s="2"/>
      <x:c r="O94" s="2"/>
      <x:c r="P94" s="2"/>
      <x:c r="Q94" s="2"/>
      <x:c r="R94" s="2"/>
      <x:c r="S94" s="2"/>
      <x:c r="T94" s="2"/>
      <x:c r="U94" s="2"/>
      <x:c r="V94" s="2"/>
    </x:row>
    <x:row r="95">
      <x:c r="A95" s="2"/>
      <x:c r="B95" s="2"/>
      <x:c r="C95" s="2"/>
      <x:c r="D95" s="2"/>
      <x:c r="E95" s="2"/>
      <x:c r="F95" s="2"/>
      <x:c r="G95" s="2"/>
      <x:c r="H95" s="2"/>
      <x:c r="I95" s="2"/>
      <x:c r="J95" s="2"/>
      <x:c r="K95" s="2"/>
      <x:c r="L95" s="2"/>
      <x:c r="M95" s="2"/>
      <x:c r="N95" s="2"/>
      <x:c r="O95" s="2"/>
      <x:c r="P95" s="2"/>
      <x:c r="Q95" s="2"/>
      <x:c r="R95" s="2"/>
      <x:c r="S95" s="2"/>
      <x:c r="T95" s="2"/>
      <x:c r="U95" s="2"/>
      <x:c r="V95" s="2"/>
    </x:row>
    <x:row r="96">
      <x:c r="A96" s="2"/>
      <x:c r="B96" s="2"/>
      <x:c r="C96" s="2"/>
      <x:c r="D96" s="2"/>
      <x:c r="E96" s="2"/>
      <x:c r="F96" s="2"/>
      <x:c r="G96" s="2"/>
      <x:c r="H96" s="2"/>
      <x:c r="I96" s="2"/>
      <x:c r="J96" s="2"/>
      <x:c r="K96" s="2"/>
      <x:c r="L96" s="2"/>
      <x:c r="M96" s="2"/>
      <x:c r="N96" s="2"/>
      <x:c r="O96" s="2"/>
      <x:c r="P96" s="2"/>
      <x:c r="Q96" s="2"/>
      <x:c r="R96" s="2"/>
      <x:c r="S96" s="2"/>
      <x:c r="T96" s="2"/>
      <x:c r="U96" s="2"/>
      <x:c r="V96" s="2"/>
    </x:row>
    <x:row r="97">
      <x:c r="A97" s="2"/>
      <x:c r="B97" s="2"/>
      <x:c r="C97" s="2"/>
      <x:c r="D97" s="2"/>
      <x:c r="E97" s="2"/>
      <x:c r="F97" s="2"/>
      <x:c r="G97" s="2"/>
      <x:c r="H97" s="2"/>
      <x:c r="I97" s="2"/>
      <x:c r="J97" s="2"/>
      <x:c r="K97" s="2"/>
      <x:c r="L97" s="2"/>
      <x:c r="M97" s="2"/>
      <x:c r="N97" s="2"/>
      <x:c r="O97" s="2"/>
      <x:c r="P97" s="2"/>
      <x:c r="Q97" s="2"/>
      <x:c r="R97" s="2"/>
      <x:c r="S97" s="2"/>
      <x:c r="T97" s="2"/>
      <x:c r="U97" s="2"/>
      <x:c r="V97" s="2"/>
    </x:row>
    <x:row r="98">
      <x:c r="A98" s="2"/>
      <x:c r="B98" s="2"/>
      <x:c r="C98" s="2"/>
      <x:c r="D98" s="2"/>
      <x:c r="E98" s="2"/>
      <x:c r="F98" s="2"/>
      <x:c r="G98" s="2"/>
      <x:c r="H98" s="2"/>
      <x:c r="I98" s="2"/>
      <x:c r="J98" s="2"/>
      <x:c r="K98" s="2"/>
      <x:c r="L98" s="2"/>
      <x:c r="M98" s="2"/>
      <x:c r="N98" s="2"/>
      <x:c r="O98" s="2"/>
      <x:c r="P98" s="2"/>
      <x:c r="Q98" s="2"/>
      <x:c r="R98" s="2"/>
      <x:c r="S98" s="2"/>
      <x:c r="T98" s="2"/>
      <x:c r="U98" s="2"/>
      <x:c r="V98" s="2"/>
    </x:row>
    <x:row r="99">
      <x:c r="A99" s="2"/>
      <x:c r="B99" s="2"/>
      <x:c r="C99" s="2"/>
      <x:c r="D99" s="2"/>
      <x:c r="E99" s="2"/>
      <x:c r="F99" s="2"/>
      <x:c r="G99" s="2"/>
      <x:c r="H99" s="2"/>
      <x:c r="I99" s="2"/>
      <x:c r="J99" s="2"/>
      <x:c r="K99" s="2"/>
      <x:c r="L99" s="2"/>
      <x:c r="M99" s="2"/>
      <x:c r="N99" s="2"/>
      <x:c r="O99" s="2"/>
      <x:c r="P99" s="2"/>
      <x:c r="Q99" s="2"/>
      <x:c r="R99" s="2"/>
      <x:c r="S99" s="2"/>
      <x:c r="T99" s="2"/>
      <x:c r="U99" s="2"/>
      <x:c r="V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conditionalFormatting sqref="O6:O50">
    <x:cfRule type="containsText" dxfId="3" priority="1" operator="containsText" text="情景"/>
  </x:conditionalFormatting>
  <x:pageMargins left="0.7" right="0.7" top="0.75" bottom="0.75" header="0.3" footer="0.3"/>
  <x:tableParts count="1">
    <x:tablePart xmlns:r="http://schemas.openxmlformats.org/officeDocument/2006/relationships" r:id="Rc0ae54c11cf549ff"/>
  </x:tableParts>
</x:worksheet>
</file>

<file path=xl/worksheets/sheet6.xml><?xml version="1.0" encoding="utf-8"?>
<x:worksheet xmlns:x="http://schemas.openxmlformats.org/spreadsheetml/2006/main">
  <x:sheetPr>
    <x:tabColor rgb="FF5B9BD5"/>
  </x:sheetPr>
  <x:sheetViews>
    <x:sheetView showGridLines="0" workbookViewId="0">
      <x:pane xSplit="3" ySplit="5" topLeftCell="D6" activePane="bottomRight" state="frozen"/>
    </x:sheetView>
  </x:sheetViews>
  <x:sheetFormatPr defaultRowHeight="15"/>
  <x:cols>
    <x:col min="1" max="1" width="13" hidden="0" customWidth="1"/>
    <x:col min="2" max="2" width="11" hidden="0" customWidth="1"/>
    <x:col min="3" max="3" width="34" hidden="0" customWidth="1"/>
    <x:col min="4" max="4" width="18" hidden="0" customWidth="1"/>
    <x:col min="5" max="5" width="17" hidden="0" customWidth="1"/>
    <x:col min="6" max="6" width="14" hidden="0" customWidth="1"/>
    <x:col min="7" max="7" width="14" hidden="0" customWidth="1"/>
    <x:col min="8" max="8" width="28" hidden="0" customWidth="1"/>
    <x:col min="9" max="9" width="17" hidden="0" customWidth="1"/>
    <x:col min="10" max="10" width="21" hidden="0" customWidth="1"/>
    <x:col min="11" max="11" width="14" hidden="0" customWidth="1"/>
    <x:col min="12" max="12" width="14" hidden="0" customWidth="1"/>
    <x:col min="13" max="13" width="16" hidden="0" customWidth="1"/>
    <x:col min="14" max="14" width="18" hidden="0" customWidth="1"/>
    <x:col min="15" max="15" width="48" hidden="0" customWidth="1"/>
    <x:col min="16" max="16" width="19" hidden="0" customWidth="1"/>
    <x:col min="17" max="17" width="18" hidden="0" customWidth="1"/>
    <x:col min="18" max="18" width="22" hidden="0" customWidth="1"/>
    <x:col min="19" max="19" width="26" hidden="0" customWidth="1"/>
    <x:col min="20" max="20" width="14" hidden="0" customWidth="1"/>
    <x:col min="21" max="21" width="40" hidden="0" customWidth="1"/>
    <x:col min="22" max="22" width="44"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设施点</x:v>
      </x:c>
      <x:c r="B2" s="2"/>
      <x:c r="C2" s="2"/>
      <x:c r="D2" s="2"/>
      <x:c r="E2" s="2"/>
      <x:c r="F2" s="2"/>
      <x:c r="G2" s="2"/>
      <x:c r="H2" s="2"/>
      <x:c r="I2" s="2"/>
      <x:c r="J2" s="2"/>
      <x:c r="K2" s="2"/>
      <x:c r="L2" s="2"/>
      <x:c r="M2" s="2"/>
      <x:c r="N2" s="2"/>
      <x:c r="O2" s="2"/>
      <x:c r="P2" s="2"/>
      <x:c r="Q2" s="2"/>
      <x:c r="R2" s="2"/>
      <x:c r="S2" s="2"/>
      <x:c r="T2" s="2"/>
      <x:c r="U2" s="2"/>
      <x:c r="V2" s="2"/>
    </x:row>
    <x:row r="3">
      <x:c r="A3" s="5" t="str">
        <x:v>现有、历史和候选设施统一按行保存。只有“是否允许模型选择=是”的记录进入设施选址变量。</x:v>
      </x:c>
      <x:c r="B3" s="4"/>
      <x:c r="C3" s="4"/>
      <x:c r="D3" s="4"/>
      <x:c r="E3" s="4"/>
      <x:c r="F3" s="4"/>
      <x:c r="G3" s="4"/>
      <x:c r="H3" s="4"/>
      <x:c r="I3" s="4"/>
      <x:c r="J3" s="4"/>
      <x:c r="K3" s="4"/>
      <x:c r="L3" s="4"/>
      <x:c r="M3" s="4"/>
      <x:c r="N3" s="4"/>
      <x:c r="O3" s="4"/>
      <x:c r="P3" s="4"/>
      <x:c r="Q3" s="4"/>
      <x:c r="R3" s="4"/>
      <x:c r="S3" s="4"/>
      <x:c r="T3" s="4"/>
      <x:c r="U3" s="4"/>
      <x:c r="V3" s="4"/>
    </x:row>
    <x:row r="4">
      <x:c r="A4" s="2"/>
      <x:c r="B4" s="2"/>
      <x:c r="C4" s="2"/>
      <x:c r="D4" s="2"/>
      <x:c r="E4" s="2"/>
      <x:c r="F4" s="2"/>
      <x:c r="G4" s="2"/>
      <x:c r="H4" s="2"/>
      <x:c r="I4" s="2"/>
      <x:c r="J4" s="2"/>
      <x:c r="K4" s="2"/>
      <x:c r="L4" s="2"/>
      <x:c r="M4" s="2"/>
      <x:c r="N4" s="2"/>
      <x:c r="O4" s="2"/>
      <x:c r="P4" s="2"/>
      <x:c r="Q4" s="2"/>
      <x:c r="R4" s="2"/>
      <x:c r="S4" s="2"/>
      <x:c r="T4" s="2"/>
      <x:c r="U4" s="2"/>
      <x:c r="V4" s="2"/>
    </x:row>
    <x:row r="5">
      <x:c r="A5" s="14" t="str">
        <x:v>设施ID</x:v>
      </x:c>
      <x:c r="B5" s="15" t="str">
        <x:v>社区ID</x:v>
      </x:c>
      <x:c r="C5" s="15" t="str">
        <x:v>设施名称</x:v>
      </x:c>
      <x:c r="D5" s="15" t="str">
        <x:v>设施类型</x:v>
      </x:c>
      <x:c r="E5" s="15" t="str">
        <x:v>设施状态</x:v>
      </x:c>
      <x:c r="F5" s="15" t="str">
        <x:v>经度WGS84</x:v>
      </x:c>
      <x:c r="G5" s="15" t="str">
        <x:v>纬度WGS84</x:v>
      </x:c>
      <x:c r="H5" s="15" t="str">
        <x:v>容量</x:v>
      </x:c>
      <x:c r="I5" s="15" t="str">
        <x:v>当前利用量件/日</x:v>
      </x:c>
      <x:c r="J5" s="15" t="str">
        <x:v>开放时间</x:v>
      </x:c>
      <x:c r="K5" s="15" t="str">
        <x:v>可用面积㎡</x:v>
      </x:c>
      <x:c r="L5" s="15" t="str">
        <x:v>可用功率kW</x:v>
      </x:c>
      <x:c r="M5" s="15" t="str">
        <x:v>建设成本元</x:v>
      </x:c>
      <x:c r="N5" s="15" t="str">
        <x:v>运营成本元/年</x:v>
      </x:c>
      <x:c r="O5" s="15" t="str">
        <x:v>运营成本口径</x:v>
      </x:c>
      <x:c r="P5" s="15" t="str">
        <x:v>连接路网节点ID</x:v>
      </x:c>
      <x:c r="Q5" s="15" t="str">
        <x:v>是否允许模型选择</x:v>
      </x:c>
      <x:c r="R5" s="15" t="str">
        <x:v>现场核验状态</x:v>
      </x:c>
      <x:c r="S5" s="15" t="str">
        <x:v>数据状态</x:v>
      </x:c>
      <x:c r="T5" s="15" t="str">
        <x:v>可信度</x:v>
      </x:c>
      <x:c r="U5" s="15" t="str">
        <x:v>来源</x:v>
      </x:c>
      <x:c r="V5" s="16" t="str">
        <x:v>来源链接</x:v>
      </x:c>
    </x:row>
    <x:row r="6" ht="60" customHeight="1">
      <x:c r="A6" s="38" t="str">
        <x:v>C01-F01</x:v>
      </x:c>
      <x:c r="B6" s="38" t="str">
        <x:v>C01</x:v>
      </x:c>
      <x:c r="C6" s="38" t="str">
        <x:v>东门智能快递柜 1</x:v>
      </x:c>
      <x:c r="D6" s="38" t="str">
        <x:v>快递柜</x:v>
      </x:c>
      <x:c r="E6" s="38" t="str">
        <x:v>现有（推定）</x:v>
      </x:c>
      <x:c r="F6" s="48" t="n">
        <x:v>116.4856</x:v>
      </x:c>
      <x:c r="G6" s="48" t="n">
        <x:v>39.79933</x:v>
      </x:c>
      <x:c r="H6" s="38" t="str">
        <x:v>84 格口</x:v>
      </x:c>
      <x:c r="I6" s="55" t="n">
        <x:v>98</x:v>
      </x:c>
      <x:c r="J6" s="55" t="str">
        <x:v>00:00—24:00</x:v>
      </x:c>
      <x:c r="K6" s="55" t="n">
        <x:v>2.25</x:v>
      </x:c>
      <x:c r="L6" s="55" t="n">
        <x:v>0.5</x:v>
      </x:c>
      <x:c r="M6" s="55" t="n">
        <x:v>30000</x:v>
      </x:c>
      <x:c r="N6" s="55" t="n">
        <x:v>14000</x:v>
      </x:c>
      <x:c r="O6" s="38" t="str">
        <x:v>14000 元/组·年（场地租金 8000 + 维护 3000 + 电费 600 + 联网 1200 + 物业 500）</x:v>
      </x:c>
      <x:c r="P6" s="38" t="str">
        <x:v>C01-R035</x:v>
      </x:c>
      <x:c r="Q6" s="38" t="str">
        <x:v>否</x:v>
      </x:c>
      <x:c r="R6" s="38" t="str">
        <x:v>待核验</x:v>
      </x:c>
      <x:c r="S6" s="38" t="str">
        <x:v>原始记录（推定项保留）</x:v>
      </x:c>
      <x:c r="T6" s="38" t="str">
        <x:v>中低</x:v>
      </x:c>
      <x:c r="U6" s="38" t="str">
        <x:v>原始社区数据表</x:v>
      </x:c>
      <x:c r="V6" s="38" t="str"/>
    </x:row>
    <x:row r="7" ht="60" customHeight="1">
      <x:c r="A7" s="38" t="str">
        <x:v>C01-F02</x:v>
      </x:c>
      <x:c r="B7" s="38" t="str">
        <x:v>C01</x:v>
      </x:c>
      <x:c r="C7" s="38" t="str">
        <x:v>东门智能快递柜 2（可扩展副柜）</x:v>
      </x:c>
      <x:c r="D7" s="38" t="str">
        <x:v>快递柜</x:v>
      </x:c>
      <x:c r="E7" s="38" t="str">
        <x:v>候选</x:v>
      </x:c>
      <x:c r="F7" s="48" t="n">
        <x:v>116.48562</x:v>
      </x:c>
      <x:c r="G7" s="48" t="n">
        <x:v>39.799315</x:v>
      </x:c>
      <x:c r="H7" s="38" t="str">
        <x:v>56 格口</x:v>
      </x:c>
      <x:c r="I7" s="55" t="n">
        <x:v>0</x:v>
      </x:c>
      <x:c r="J7" s="55" t="str">
        <x:v>00:00—24:00</x:v>
      </x:c>
      <x:c r="K7" s="55" t="n">
        <x:v>1.8</x:v>
      </x:c>
      <x:c r="L7" s="55" t="n">
        <x:v>0.3</x:v>
      </x:c>
      <x:c r="M7" s="55" t="n">
        <x:v>2244</x:v>
      </x:c>
      <x:c r="N7" s="55" t="n">
        <x:v>14000</x:v>
      </x:c>
      <x:c r="O7" s="38" t="str">
        <x:v>同上；本柜为挂接既有主控的扩容副柜，仅计柜体价</x:v>
      </x:c>
      <x:c r="P7" s="38" t="str">
        <x:v>C01-R035</x:v>
      </x:c>
      <x:c r="Q7" s="38" t="str">
        <x:v>是</x:v>
      </x:c>
      <x:c r="R7" s="38" t="str">
        <x:v>待核验</x:v>
      </x:c>
      <x:c r="S7" s="38" t="str">
        <x:v>原始记录（推定项保留）</x:v>
      </x:c>
      <x:c r="T7" s="38" t="str">
        <x:v>中低</x:v>
      </x:c>
      <x:c r="U7" s="38" t="str">
        <x:v>原始社区数据表</x:v>
      </x:c>
      <x:c r="V7" s="38" t="str"/>
    </x:row>
    <x:row r="8" ht="60" customHeight="1">
      <x:c r="A8" s="38" t="str">
        <x:v>C01-F03</x:v>
      </x:c>
      <x:c r="B8" s="38" t="str">
        <x:v>C01</x:v>
      </x:c>
      <x:c r="C8" s="38" t="str">
        <x:v>物业办公楼快递代收点（驿站）</x:v>
      </x:c>
      <x:c r="D8" s="38" t="str">
        <x:v>驿站</x:v>
      </x:c>
      <x:c r="E8" s="38" t="str">
        <x:v>现有（推定）</x:v>
      </x:c>
      <x:c r="F8" s="48" t="n">
        <x:v>116.48533</x:v>
      </x:c>
      <x:c r="G8" s="48" t="n">
        <x:v>39.79943</x:v>
      </x:c>
      <x:c r="H8" s="38" t="str">
        <x:v>300 件/日</x:v>
      </x:c>
      <x:c r="I8" s="55" t="n">
        <x:v>65</x:v>
      </x:c>
      <x:c r="J8" s="55" t="str">
        <x:v>08:30—20:00</x:v>
      </x:c>
      <x:c r="K8" s="55" t="n">
        <x:v>25</x:v>
      </x:c>
      <x:c r="L8" s="55" t="n">
        <x:v>2</x:v>
      </x:c>
      <x:c r="M8" s="55" t="n">
        <x:v>0</x:v>
      </x:c>
      <x:c r="N8" s="55" t="n">
        <x:v>11000</x:v>
      </x:c>
      <x:c r="O8" s="38" t="str">
        <x:v>11000 元/年（进驻小区费 3000 + 维护 3000 + 人力分摊，待核）</x:v>
      </x:c>
      <x:c r="P8" s="38" t="str">
        <x:v>C01-R028</x:v>
      </x:c>
      <x:c r="Q8" s="38" t="str">
        <x:v>否</x:v>
      </x:c>
      <x:c r="R8" s="38" t="str">
        <x:v>待核验</x:v>
      </x:c>
      <x:c r="S8" s="38" t="str">
        <x:v>原始记录（推定项保留）</x:v>
      </x:c>
      <x:c r="T8" s="38" t="str">
        <x:v>中低</x:v>
      </x:c>
      <x:c r="U8" s="38" t="str">
        <x:v>原始社区数据表</x:v>
      </x:c>
      <x:c r="V8" s="38" t="str"/>
    </x:row>
    <x:row r="9" ht="60" customHeight="1">
      <x:c r="A9" s="38" t="str">
        <x:v>C01-F04</x:v>
      </x:c>
      <x:c r="B9" s="38" t="str">
        <x:v>C01</x:v>
      </x:c>
      <x:c r="C9" s="38" t="str">
        <x:v>东门无人配送车换电柜（候选）</x:v>
      </x:c>
      <x:c r="D9" s="38" t="str">
        <x:v>换电站</x:v>
      </x:c>
      <x:c r="E9" s="38" t="str">
        <x:v>候选</x:v>
      </x:c>
      <x:c r="F9" s="48" t="n">
        <x:v>116.48556</x:v>
      </x:c>
      <x:c r="G9" s="48" t="n">
        <x:v>39.7993</x:v>
      </x:c>
      <x:c r="H9" s="38" t="str">
        <x:v>1 柜 + 4 组电池（约 30—40 车次/日）</x:v>
      </x:c>
      <x:c r="I9" s="55" t="n">
        <x:v>0</x:v>
      </x:c>
      <x:c r="J9" s="55" t="str">
        <x:v>00:00—24:00</x:v>
      </x:c>
      <x:c r="K9" s="55" t="n">
        <x:v>6</x:v>
      </x:c>
      <x:c r="L9" s="55" t="n">
        <x:v>8</x:v>
      </x:c>
      <x:c r="M9" s="55" t="n">
        <x:v>80000</x:v>
      </x:c>
      <x:c r="N9" s="55" t="n">
        <x:v>4800</x:v>
      </x:c>
      <x:c r="O9" s="38" t="str">
        <x:v>4800 元/年（换电柜月耗电约 250 度 × 低谷电价 0.60 × 12 ≈ 1800 + 维护分摊 3000）</x:v>
      </x:c>
      <x:c r="P9" s="38" t="str">
        <x:v>C01-R035</x:v>
      </x:c>
      <x:c r="Q9" s="38" t="str">
        <x:v>是</x:v>
      </x:c>
      <x:c r="R9" s="38" t="str">
        <x:v>待核验</x:v>
      </x:c>
      <x:c r="S9" s="38" t="str">
        <x:v>原始记录（推定项保留）</x:v>
      </x:c>
      <x:c r="T9" s="38" t="str">
        <x:v>中低</x:v>
      </x:c>
      <x:c r="U9" s="38" t="str">
        <x:v>原始社区数据表</x:v>
      </x:c>
      <x:c r="V9" s="38" t="str"/>
    </x:row>
    <x:row r="10" ht="60" customHeight="1">
      <x:c r="A10" s="38" t="str">
        <x:v>C01-F05</x:v>
      </x:c>
      <x:c r="B10" s="38" t="str">
        <x:v>C01</x:v>
      </x:c>
      <x:c r="C10" s="38" t="str">
        <x:v>东门无人车接驳装卸点</x:v>
      </x:c>
      <x:c r="D10" s="38" t="str">
        <x:v>接驳点</x:v>
      </x:c>
      <x:c r="E10" s="38" t="str">
        <x:v>候选</x:v>
      </x:c>
      <x:c r="F10" s="48" t="n">
        <x:v>116.48552</x:v>
      </x:c>
      <x:c r="G10" s="48" t="n">
        <x:v>39.799392</x:v>
      </x:c>
      <x:c r="H10" s="38" t="str">
        <x:v>2 个车位（X3 泊位）</x:v>
      </x:c>
      <x:c r="I10" s="55" t="n">
        <x:v>0</x:v>
      </x:c>
      <x:c r="J10" s="55" t="str">
        <x:v>06:00—23:00</x:v>
      </x:c>
      <x:c r="K10" s="55" t="n">
        <x:v>15</x:v>
      </x:c>
      <x:c r="L10" s="55" t="n">
        <x:v>0</x:v>
      </x:c>
      <x:c r="M10" s="55" t="n">
        <x:v>0</x:v>
      </x:c>
      <x:c r="N10" s="55" t="n">
        <x:v>0</x:v>
      </x:c>
      <x:c r="O10" s="38" t="str">
        <x:v>利用小区内部道路侧向空间，不新增租金</x:v>
      </x:c>
      <x:c r="P10" s="38" t="str">
        <x:v>C01-R028</x:v>
      </x:c>
      <x:c r="Q10" s="38" t="str">
        <x:v>是</x:v>
      </x:c>
      <x:c r="R10" s="38" t="str">
        <x:v>待核验</x:v>
      </x:c>
      <x:c r="S10" s="38" t="str">
        <x:v>原始记录（推定项保留）</x:v>
      </x:c>
      <x:c r="T10" s="38" t="str">
        <x:v>中低</x:v>
      </x:c>
      <x:c r="U10" s="38" t="str">
        <x:v>原始社区数据表</x:v>
      </x:c>
      <x:c r="V10" s="38" t="str"/>
    </x:row>
    <x:row r="11" ht="60" customHeight="1">
      <x:c r="A11" s="38" t="str">
        <x:v>C02-F01</x:v>
      </x:c>
      <x:c r="B11" s="38" t="str">
        <x:v>C02</x:v>
      </x:c>
      <x:c r="C11" s="38" t="str">
        <x:v>北门快递柜 1</x:v>
      </x:c>
      <x:c r="D11" s="38" t="str">
        <x:v>快递柜</x:v>
      </x:c>
      <x:c r="E11" s="38" t="str">
        <x:v>现有</x:v>
      </x:c>
      <x:c r="F11" s="48" t="n">
        <x:v>116.49423</x:v>
      </x:c>
      <x:c r="G11" s="48" t="n">
        <x:v>39.800125</x:v>
      </x:c>
      <x:c r="H11" s="38" t="str">
        <x:v>84 格口</x:v>
      </x:c>
      <x:c r="I11" s="55" t="n">
        <x:v>156</x:v>
      </x:c>
      <x:c r="J11" s="55" t="str">
        <x:v>00:00—24:00</x:v>
      </x:c>
      <x:c r="K11" s="55" t="n">
        <x:v>2.25</x:v>
      </x:c>
      <x:c r="L11" s="55" t="n">
        <x:v>0.5</x:v>
      </x:c>
      <x:c r="M11" s="55" t="n">
        <x:v>30000</x:v>
      </x:c>
      <x:c r="N11" s="55" t="n">
        <x:v>14000</x:v>
      </x:c>
      <x:c r="O11" s="38" t="str">
        <x:v>14000 元/组·年（场地租金 8000 + 维护 3000 + 电费 600 + 联网 1200 + 物业 500）</x:v>
      </x:c>
      <x:c r="P11" s="38" t="str">
        <x:v>C02-R005</x:v>
      </x:c>
      <x:c r="Q11" s="38" t="str">
        <x:v>否</x:v>
      </x:c>
      <x:c r="R11" s="38" t="str">
        <x:v>待核验</x:v>
      </x:c>
      <x:c r="S11" s="38" t="str">
        <x:v>原始记录（推定项保留）</x:v>
      </x:c>
      <x:c r="T11" s="38" t="str">
        <x:v>中低</x:v>
      </x:c>
      <x:c r="U11" s="38" t="str">
        <x:v>按官方433户与0.6件/户·日重算（60%渠道分配）</x:v>
      </x:c>
      <x:c r="V11" s="38" t="str"/>
    </x:row>
    <x:row r="12" ht="60" customHeight="1">
      <x:c r="A12" s="38" t="str">
        <x:v>C02-F02</x:v>
      </x:c>
      <x:c r="B12" s="38" t="str">
        <x:v>C02</x:v>
      </x:c>
      <x:c r="C12" s="38" t="str">
        <x:v>北门快递柜 2</x:v>
      </x:c>
      <x:c r="D12" s="38" t="str">
        <x:v>快递柜</x:v>
      </x:c>
      <x:c r="E12" s="38" t="str">
        <x:v>现有（推定）</x:v>
      </x:c>
      <x:c r="F12" s="48" t="n">
        <x:v>116.49428</x:v>
      </x:c>
      <x:c r="G12" s="48" t="n">
        <x:v>39.800098</x:v>
      </x:c>
      <x:c r="H12" s="38" t="str">
        <x:v>56 格口</x:v>
      </x:c>
      <x:c r="I12" s="55" t="n">
        <x:v>104</x:v>
      </x:c>
      <x:c r="J12" s="55" t="str">
        <x:v>00:00—24:00</x:v>
      </x:c>
      <x:c r="K12" s="55" t="n">
        <x:v>1.8</x:v>
      </x:c>
      <x:c r="L12" s="55" t="n">
        <x:v>0.3</x:v>
      </x:c>
      <x:c r="M12" s="55" t="n">
        <x:v>2244</x:v>
      </x:c>
      <x:c r="N12" s="55" t="n">
        <x:v>14000</x:v>
      </x:c>
      <x:c r="O12" s="38" t="str">
        <x:v>同上；本柜为挂接既有主控的扩容副柜，仅计柜体价</x:v>
      </x:c>
      <x:c r="P12" s="38" t="str">
        <x:v>C02-R005</x:v>
      </x:c>
      <x:c r="Q12" s="38" t="str">
        <x:v>否</x:v>
      </x:c>
      <x:c r="R12" s="38" t="str">
        <x:v>待核验</x:v>
      </x:c>
      <x:c r="S12" s="38" t="str">
        <x:v>原始记录（推定项保留）</x:v>
      </x:c>
      <x:c r="T12" s="38" t="str">
        <x:v>中低</x:v>
      </x:c>
      <x:c r="U12" s="38" t="str">
        <x:v>按官方433户与0.6件/户·日重算（40%渠道分配）</x:v>
      </x:c>
      <x:c r="V12" s="38" t="str"/>
    </x:row>
    <x:row r="13" ht="60" customHeight="1">
      <x:c r="A13" s="38" t="str">
        <x:v>C02-F03</x:v>
      </x:c>
      <x:c r="B13" s="38" t="str">
        <x:v>C02</x:v>
      </x:c>
      <x:c r="C13" s="38" t="str">
        <x:v>3 号楼旁快递柜（候选）</x:v>
      </x:c>
      <x:c r="D13" s="38" t="str">
        <x:v>快递柜</x:v>
      </x:c>
      <x:c r="E13" s="38" t="str">
        <x:v>候选</x:v>
      </x:c>
      <x:c r="F13" s="48" t="n">
        <x:v>116.49416</x:v>
      </x:c>
      <x:c r="G13" s="48" t="n">
        <x:v>39.799908</x:v>
      </x:c>
      <x:c r="H13" s="38" t="str">
        <x:v>104 格口（1 主柜 + 4 副柜）</x:v>
      </x:c>
      <x:c r="I13" s="55" t="n">
        <x:v>0</x:v>
      </x:c>
      <x:c r="J13" s="55" t="str">
        <x:v>00:00—24:00</x:v>
      </x:c>
      <x:c r="K13" s="55" t="n">
        <x:v>2.8</x:v>
      </x:c>
      <x:c r="L13" s="55" t="n">
        <x:v>0.6</x:v>
      </x:c>
      <x:c r="M13" s="55" t="n">
        <x:v>30000</x:v>
      </x:c>
      <x:c r="N13" s="55" t="n">
        <x:v>14000</x:v>
      </x:c>
      <x:c r="O13" s="38" t="str">
        <x:v>同上；标准组整组新建，按含主控与安装的 30000 元/组计</x:v>
      </x:c>
      <x:c r="P13" s="38" t="str">
        <x:v>C02-R012</x:v>
      </x:c>
      <x:c r="Q13" s="38" t="str">
        <x:v>是</x:v>
      </x:c>
      <x:c r="R13" s="38" t="str">
        <x:v>待核验</x:v>
      </x:c>
      <x:c r="S13" s="38" t="str">
        <x:v>原始记录（推定项保留）</x:v>
      </x:c>
      <x:c r="T13" s="38" t="str">
        <x:v>中低</x:v>
      </x:c>
      <x:c r="U13" s="38" t="str">
        <x:v>原始社区数据表</x:v>
      </x:c>
      <x:c r="V13" s="38" t="str"/>
    </x:row>
    <x:row r="14" ht="60" customHeight="1">
      <x:c r="A14" s="38" t="str">
        <x:v>C02-F04</x:v>
      </x:c>
      <x:c r="B14" s="38" t="str">
        <x:v>C02</x:v>
      </x:c>
      <x:c r="C14" s="38" t="str">
        <x:v>北门无人配送车换电柜（候选）</x:v>
      </x:c>
      <x:c r="D14" s="38" t="str">
        <x:v>换电站</x:v>
      </x:c>
      <x:c r="E14" s="38" t="str">
        <x:v>候选</x:v>
      </x:c>
      <x:c r="F14" s="48" t="n">
        <x:v>116.4942</x:v>
      </x:c>
      <x:c r="G14" s="48" t="n">
        <x:v>39.80011</x:v>
      </x:c>
      <x:c r="H14" s="38" t="str">
        <x:v>1 柜 + 4 组电池（约 30—40 车次/日）</x:v>
      </x:c>
      <x:c r="I14" s="55" t="n">
        <x:v>0</x:v>
      </x:c>
      <x:c r="J14" s="55" t="str">
        <x:v>00:00—24:00</x:v>
      </x:c>
      <x:c r="K14" s="55" t="n">
        <x:v>6</x:v>
      </x:c>
      <x:c r="L14" s="55" t="n">
        <x:v>8</x:v>
      </x:c>
      <x:c r="M14" s="55" t="n">
        <x:v>80000</x:v>
      </x:c>
      <x:c r="N14" s="55" t="n">
        <x:v>4800</x:v>
      </x:c>
      <x:c r="O14" s="38" t="str">
        <x:v>4800 元/年（换电柜月耗电约 250 度 × 低谷电价 0.60 × 12 ≈ 1800 + 维护分摊 3000）</x:v>
      </x:c>
      <x:c r="P14" s="38" t="str">
        <x:v>C02-R005</x:v>
      </x:c>
      <x:c r="Q14" s="38" t="str">
        <x:v>是</x:v>
      </x:c>
      <x:c r="R14" s="38" t="str">
        <x:v>待核验</x:v>
      </x:c>
      <x:c r="S14" s="38" t="str">
        <x:v>原始记录（推定项保留）</x:v>
      </x:c>
      <x:c r="T14" s="38" t="str">
        <x:v>中低</x:v>
      </x:c>
      <x:c r="U14" s="38" t="str">
        <x:v>原始社区数据表</x:v>
      </x:c>
      <x:c r="V14" s="38" t="str"/>
    </x:row>
    <x:row r="15" ht="60" customHeight="1">
      <x:c r="A15" s="38" t="str">
        <x:v>C02-F05</x:v>
      </x:c>
      <x:c r="B15" s="38" t="str">
        <x:v>C02</x:v>
      </x:c>
      <x:c r="C15" s="38" t="str">
        <x:v>北门无人车接驳装卸点</x:v>
      </x:c>
      <x:c r="D15" s="38" t="str">
        <x:v>接驳点</x:v>
      </x:c>
      <x:c r="E15" s="38" t="str">
        <x:v>候选</x:v>
      </x:c>
      <x:c r="F15" s="48" t="n">
        <x:v>116.49416</x:v>
      </x:c>
      <x:c r="G15" s="48" t="n">
        <x:v>39.80014</x:v>
      </x:c>
      <x:c r="H15" s="38" t="str">
        <x:v>2 个车位（X3 泊位）</x:v>
      </x:c>
      <x:c r="I15" s="55" t="n">
        <x:v>0</x:v>
      </x:c>
      <x:c r="J15" s="55" t="str">
        <x:v>06:00—23:00</x:v>
      </x:c>
      <x:c r="K15" s="55" t="n">
        <x:v>15</x:v>
      </x:c>
      <x:c r="L15" s="55" t="n">
        <x:v>0</x:v>
      </x:c>
      <x:c r="M15" s="55" t="n">
        <x:v>0</x:v>
      </x:c>
      <x:c r="N15" s="55" t="n">
        <x:v>0</x:v>
      </x:c>
      <x:c r="O15" s="38" t="str">
        <x:v>利用小区内部道路侧向空间，不新增租金</x:v>
      </x:c>
      <x:c r="P15" s="38" t="str">
        <x:v>C02-R005</x:v>
      </x:c>
      <x:c r="Q15" s="38" t="str">
        <x:v>是</x:v>
      </x:c>
      <x:c r="R15" s="38" t="str">
        <x:v>待核验</x:v>
      </x:c>
      <x:c r="S15" s="38" t="str">
        <x:v>原始记录（推定项保留）</x:v>
      </x:c>
      <x:c r="T15" s="38" t="str">
        <x:v>中低</x:v>
      </x:c>
      <x:c r="U15" s="38" t="str">
        <x:v>原始社区数据表</x:v>
      </x:c>
      <x:c r="V15" s="38" t="str"/>
    </x:row>
    <x:row r="16" ht="60" customHeight="1">
      <x:c r="A16" s="38" t="str">
        <x:v>C03-F01</x:v>
      </x:c>
      <x:c r="B16" s="38" t="str">
        <x:v>C03</x:v>
      </x:c>
      <x:c r="C16" s="38" t="str">
        <x:v>丰巢智能柜（天华北街·天华园二里）</x:v>
      </x:c>
      <x:c r="D16" s="38" t="str">
        <x:v>驿站</x:v>
      </x:c>
      <x:c r="E16" s="38" t="str">
        <x:v>现有</x:v>
      </x:c>
      <x:c r="F16" s="48" t="n">
        <x:v>116.491306</x:v>
      </x:c>
      <x:c r="G16" s="48" t="n">
        <x:v>39.803446</x:v>
      </x:c>
      <x:c r="H16" s="38" t="str">
        <x:v>84 格口（推定）</x:v>
      </x:c>
      <x:c r="I16" s="55" t="n">
        <x:v>98</x:v>
      </x:c>
      <x:c r="J16" s="55" t="str">
        <x:v>00:00—24:00</x:v>
      </x:c>
      <x:c r="K16" s="55" t="n">
        <x:v>25</x:v>
      </x:c>
      <x:c r="L16" s="55" t="n">
        <x:v>2</x:v>
      </x:c>
      <x:c r="M16" s="55" t="n">
        <x:v>0</x:v>
      </x:c>
      <x:c r="N16" s="55" t="n">
        <x:v>11000</x:v>
      </x:c>
      <x:c r="O16" s="38" t="str">
        <x:v>11000 元/年（进驻小区费 3000 + 维护 3000 + 人力分摊，待核）</x:v>
      </x:c>
      <x:c r="P16" s="38" t="str">
        <x:v>C03-R144</x:v>
      </x:c>
      <x:c r="Q16" s="38" t="str">
        <x:v>否</x:v>
      </x:c>
      <x:c r="R16" s="38" t="str">
        <x:v>待核验</x:v>
      </x:c>
      <x:c r="S16" s="38" t="str">
        <x:v>原始记录（推定项保留）</x:v>
      </x:c>
      <x:c r="T16" s="38" t="str">
        <x:v>中低</x:v>
      </x:c>
      <x:c r="U16" s="38" t="str">
        <x:v>原始社区数据表</x:v>
      </x:c>
      <x:c r="V16" s="38" t="str"/>
    </x:row>
    <x:row r="17" ht="60" customHeight="1">
      <x:c r="A17" s="38" t="str">
        <x:v>C03-F02</x:v>
      </x:c>
      <x:c r="B17" s="38" t="str">
        <x:v>C03</x:v>
      </x:c>
      <x:c r="C17" s="38" t="str">
        <x:v>丰巢快递柜（博客雅居·天华东路5号院）</x:v>
      </x:c>
      <x:c r="D17" s="38" t="str">
        <x:v>驿站</x:v>
      </x:c>
      <x:c r="E17" s="38" t="str">
        <x:v>现有</x:v>
      </x:c>
      <x:c r="F17" s="48" t="n">
        <x:v>116.488334</x:v>
      </x:c>
      <x:c r="G17" s="48" t="n">
        <x:v>39.802973</x:v>
      </x:c>
      <x:c r="H17" s="38" t="str">
        <x:v>84 格口（推定）</x:v>
      </x:c>
      <x:c r="I17" s="55"/>
      <x:c r="J17" s="55" t="str">
        <x:v>00:00—24:00</x:v>
      </x:c>
      <x:c r="K17" s="55" t="n">
        <x:v>25</x:v>
      </x:c>
      <x:c r="L17" s="55" t="n">
        <x:v>2</x:v>
      </x:c>
      <x:c r="M17" s="55" t="n">
        <x:v>0</x:v>
      </x:c>
      <x:c r="N17" s="55" t="n">
        <x:v>11000</x:v>
      </x:c>
      <x:c r="O17" s="38" t="str">
        <x:v>11000 元/年（进驻小区费 3000 + 维护 3000 + 人力分摊，待核）</x:v>
      </x:c>
      <x:c r="P17" s="38" t="str">
        <x:v>C03-R195</x:v>
      </x:c>
      <x:c r="Q17" s="38" t="str">
        <x:v>否</x:v>
      </x:c>
      <x:c r="R17" s="38" t="str">
        <x:v>待核验</x:v>
      </x:c>
      <x:c r="S17" s="38" t="str">
        <x:v>原始记录（推定项保留）</x:v>
      </x:c>
      <x:c r="T17" s="38" t="str">
        <x:v>中低</x:v>
      </x:c>
      <x:c r="U17" s="38" t="str">
        <x:v>原始社区数据表</x:v>
      </x:c>
      <x:c r="V17" s="38" t="str"/>
    </x:row>
    <x:row r="18" ht="60" customHeight="1">
      <x:c r="A18" s="38" t="str">
        <x:v>C03-F03</x:v>
      </x:c>
      <x:c r="B18" s="38" t="str">
        <x:v>C03</x:v>
      </x:c>
      <x:c r="C18" s="38" t="str">
        <x:v>小区内快递驿站（物业代收点）</x:v>
      </x:c>
      <x:c r="D18" s="38" t="str">
        <x:v>驿站</x:v>
      </x:c>
      <x:c r="E18" s="38" t="str">
        <x:v>现有（推定）</x:v>
      </x:c>
      <x:c r="F18" s="48" t="n">
        <x:v>116.491082</x:v>
      </x:c>
      <x:c r="G18" s="48" t="n">
        <x:v>39.803781</x:v>
      </x:c>
      <x:c r="H18" s="38" t="str">
        <x:v>300 件/日（推定）</x:v>
      </x:c>
      <x:c r="I18" s="55" t="n">
        <x:v>65</x:v>
      </x:c>
      <x:c r="J18" s="55" t="str">
        <x:v>08:30—20:00（推定）</x:v>
      </x:c>
      <x:c r="K18" s="55" t="n">
        <x:v>25</x:v>
      </x:c>
      <x:c r="L18" s="55" t="n">
        <x:v>2</x:v>
      </x:c>
      <x:c r="M18" s="55" t="n">
        <x:v>0</x:v>
      </x:c>
      <x:c r="N18" s="55" t="n">
        <x:v>11000</x:v>
      </x:c>
      <x:c r="O18" s="38" t="str">
        <x:v>11000 元/年（进驻小区费 3000 + 维护 3000 + 人力分摊，待核）</x:v>
      </x:c>
      <x:c r="P18" s="38" t="str">
        <x:v>C03-R178</x:v>
      </x:c>
      <x:c r="Q18" s="38" t="str">
        <x:v>否</x:v>
      </x:c>
      <x:c r="R18" s="38" t="str">
        <x:v>待核验</x:v>
      </x:c>
      <x:c r="S18" s="38" t="str">
        <x:v>原始记录（推定项保留）</x:v>
      </x:c>
      <x:c r="T18" s="38" t="str">
        <x:v>中低</x:v>
      </x:c>
      <x:c r="U18" s="38" t="str">
        <x:v>原始社区数据表</x:v>
      </x:c>
      <x:c r="V18" s="38" t="str"/>
    </x:row>
    <x:row r="19" ht="60" customHeight="1">
      <x:c r="A19" s="38" t="str">
        <x:v>C03-F04</x:v>
      </x:c>
      <x:c r="B19" s="38" t="str">
        <x:v>C03</x:v>
      </x:c>
      <x:c r="C19" s="38" t="str">
        <x:v>菜鸟驿站（天华园二里二区）</x:v>
      </x:c>
      <x:c r="D19" s="38" t="str">
        <x:v>驿站</x:v>
      </x:c>
      <x:c r="E19" s="38" t="str">
        <x:v>现有（推定）</x:v>
      </x:c>
      <x:c r="F19" s="48" t="n">
        <x:v>116.491082</x:v>
      </x:c>
      <x:c r="G19" s="48" t="n">
        <x:v>39.800278</x:v>
      </x:c>
      <x:c r="H19" s="38" t="str">
        <x:v>300 件/日（推定）</x:v>
      </x:c>
      <x:c r="I19" s="55"/>
      <x:c r="J19" s="55" t="str">
        <x:v>08:00—21:00（推定）</x:v>
      </x:c>
      <x:c r="K19" s="55" t="n">
        <x:v>25</x:v>
      </x:c>
      <x:c r="L19" s="55" t="n">
        <x:v>2</x:v>
      </x:c>
      <x:c r="M19" s="55" t="n">
        <x:v>0</x:v>
      </x:c>
      <x:c r="N19" s="55" t="n">
        <x:v>11000</x:v>
      </x:c>
      <x:c r="O19" s="38" t="str">
        <x:v>11000 元/年（进驻小区费 3000 + 维护 3000 + 人力分摊，待核）</x:v>
      </x:c>
      <x:c r="P19" s="38" t="str">
        <x:v>C03-R026</x:v>
      </x:c>
      <x:c r="Q19" s="38" t="str">
        <x:v>否</x:v>
      </x:c>
      <x:c r="R19" s="38" t="str">
        <x:v>待核验</x:v>
      </x:c>
      <x:c r="S19" s="38" t="str">
        <x:v>原始记录（推定项保留）</x:v>
      </x:c>
      <x:c r="T19" s="38" t="str">
        <x:v>中低</x:v>
      </x:c>
      <x:c r="U19" s="38" t="str">
        <x:v>原始社区数据表</x:v>
      </x:c>
      <x:c r="V19" s="38" t="str"/>
    </x:row>
    <x:row r="20" ht="60" customHeight="1">
      <x:c r="A20" s="38" t="str">
        <x:v>C03-F05</x:v>
      </x:c>
      <x:c r="B20" s="38" t="str">
        <x:v>C03</x:v>
      </x:c>
      <x:c r="C20" s="38" t="str">
        <x:v>星岛假日路口换电柜（小哈/铁塔等）</x:v>
      </x:c>
      <x:c r="D20" s="38" t="str">
        <x:v>换电站</x:v>
      </x:c>
      <x:c r="E20" s="38" t="str">
        <x:v>现有（推定）</x:v>
      </x:c>
      <x:c r="F20" s="48" t="n">
        <x:v>116.479389</x:v>
      </x:c>
      <x:c r="G20" s="48" t="n">
        <x:v>39.802973</x:v>
      </x:c>
      <x:c r="H20" s="38" t="str">
        <x:v>1 柜 + 4 组电池（约 30—40 车次/日，推定）</x:v>
      </x:c>
      <x:c r="I20" s="55" t="n">
        <x:v>0</x:v>
      </x:c>
      <x:c r="J20" s="55" t="str">
        <x:v>00:00—24:00</x:v>
      </x:c>
      <x:c r="K20" s="55" t="n">
        <x:v>6</x:v>
      </x:c>
      <x:c r="L20" s="55" t="n">
        <x:v>8</x:v>
      </x:c>
      <x:c r="M20" s="55" t="n">
        <x:v>80000</x:v>
      </x:c>
      <x:c r="N20" s="55" t="n">
        <x:v>4800</x:v>
      </x:c>
      <x:c r="O20" s="38" t="str">
        <x:v>4800 元/年（换电柜月耗电约 250 度 × 低谷电价 0.60 × 12 ≈ 1800 + 维护分摊 3000）</x:v>
      </x:c>
      <x:c r="P20" s="38" t="str">
        <x:v>C03-R195</x:v>
      </x:c>
      <x:c r="Q20" s="38" t="str">
        <x:v>是</x:v>
      </x:c>
      <x:c r="R20" s="38" t="str">
        <x:v>待核验</x:v>
      </x:c>
      <x:c r="S20" s="38" t="str">
        <x:v>原始记录（推定项保留）</x:v>
      </x:c>
      <x:c r="T20" s="38" t="str">
        <x:v>中低</x:v>
      </x:c>
      <x:c r="U20" s="38" t="str">
        <x:v>原始社区数据表</x:v>
      </x:c>
      <x:c r="V20" s="38" t="str"/>
    </x:row>
    <x:row r="21" ht="60" customHeight="1">
      <x:c r="A21" s="38" t="str">
        <x:v>C03-F06</x:v>
      </x:c>
      <x:c r="B21" s="38" t="str">
        <x:v>C03</x:v>
      </x:c>
      <x:c r="C21" s="38" t="str">
        <x:v>乐陵商会大厦换电柜（小哈换电）</x:v>
      </x:c>
      <x:c r="D21" s="38" t="str">
        <x:v>换电站</x:v>
      </x:c>
      <x:c r="E21" s="38" t="str">
        <x:v>现有（推定）</x:v>
      </x:c>
      <x:c r="F21" s="48" t="n">
        <x:v>116.514468</x:v>
      </x:c>
      <x:c r="G21" s="48" t="n">
        <x:v>39.802973</x:v>
      </x:c>
      <x:c r="H21" s="38" t="str">
        <x:v>待核</x:v>
      </x:c>
      <x:c r="I21" s="55" t="n">
        <x:v>0</x:v>
      </x:c>
      <x:c r="J21" s="55" t="str">
        <x:v>00:00—24:00</x:v>
      </x:c>
      <x:c r="K21" s="55" t="n">
        <x:v>6</x:v>
      </x:c>
      <x:c r="L21" s="55" t="n">
        <x:v>8</x:v>
      </x:c>
      <x:c r="M21" s="55" t="n">
        <x:v>80000</x:v>
      </x:c>
      <x:c r="N21" s="55" t="n">
        <x:v>4800</x:v>
      </x:c>
      <x:c r="O21" s="38" t="str">
        <x:v>4800 元/年（换电柜月耗电约 250 度 × 低谷电价 0.60 × 12 ≈ 1800 + 维护分摊 3000）</x:v>
      </x:c>
      <x:c r="P21" s="38" t="str">
        <x:v>C03-R124</x:v>
      </x:c>
      <x:c r="Q21" s="38" t="str">
        <x:v>是</x:v>
      </x:c>
      <x:c r="R21" s="38" t="str">
        <x:v>待核验</x:v>
      </x:c>
      <x:c r="S21" s="38" t="str">
        <x:v>原始记录（推定项保留）</x:v>
      </x:c>
      <x:c r="T21" s="38" t="str">
        <x:v>中低</x:v>
      </x:c>
      <x:c r="U21" s="38" t="str">
        <x:v>原始社区数据表</x:v>
      </x:c>
      <x:c r="V21" s="38" t="str"/>
    </x:row>
    <x:row r="22" ht="60" customHeight="1">
      <x:c r="A22" s="38" t="str">
        <x:v>C03-F07</x:v>
      </x:c>
      <x:c r="B22" s="38" t="str">
        <x:v>C03</x:v>
      </x:c>
      <x:c r="C22" s="38" t="str">
        <x:v>林肯公园充电站（中石化）</x:v>
      </x:c>
      <x:c r="D22" s="38" t="str">
        <x:v>充电站</x:v>
      </x:c>
      <x:c r="E22" s="38" t="str">
        <x:v>现有</x:v>
      </x:c>
      <x:c r="F22" s="48" t="n">
        <x:v>116.489709</x:v>
      </x:c>
      <x:c r="G22" s="48" t="n">
        <x:v>39.801918</x:v>
      </x:c>
      <x:c r="H22" s="38" t="str">
        <x:v>多桩（待核）</x:v>
      </x:c>
      <x:c r="I22" s="55"/>
      <x:c r="J22" s="55" t="str">
        <x:v>00:00—24:00</x:v>
      </x:c>
      <x:c r="K22" s="55"/>
      <x:c r="L22" s="55"/>
      <x:c r="M22" s="55" t="n">
        <x:v>0</x:v>
      </x:c>
      <x:c r="N22" s="55" t="n">
        <x:v>0</x:v>
      </x:c>
      <x:c r="O22" s="38" t="str">
        <x:v>EV 充电站运营成本不计入末端配送模型（仅作配套参考）</x:v>
      </x:c>
      <x:c r="P22" s="38" t="str">
        <x:v>C03-R028</x:v>
      </x:c>
      <x:c r="Q22" s="38" t="str">
        <x:v>否</x:v>
      </x:c>
      <x:c r="R22" s="38" t="str">
        <x:v>待核验</x:v>
      </x:c>
      <x:c r="S22" s="38" t="str">
        <x:v>原始记录（推定项保留）</x:v>
      </x:c>
      <x:c r="T22" s="38" t="str">
        <x:v>中低</x:v>
      </x:c>
      <x:c r="U22" s="38" t="str">
        <x:v>原始社区数据表</x:v>
      </x:c>
      <x:c r="V22" s="38" t="str"/>
    </x:row>
    <x:row r="23" ht="60" customHeight="1">
      <x:c r="A23" s="38" t="str">
        <x:v>C03-F08</x:v>
      </x:c>
      <x:c r="B23" s="38" t="str">
        <x:v>C03</x:v>
      </x:c>
      <x:c r="C23" s="38" t="str">
        <x:v>大雄城市花园充电站（智汇充）</x:v>
      </x:c>
      <x:c r="D23" s="38" t="str">
        <x:v>充电站</x:v>
      </x:c>
      <x:c r="E23" s="38" t="str">
        <x:v>现有</x:v>
      </x:c>
      <x:c r="F23" s="48" t="n">
        <x:v>116.491082</x:v>
      </x:c>
      <x:c r="G23" s="48" t="n">
        <x:v>39.803925</x:v>
      </x:c>
      <x:c r="H23" s="38" t="str">
        <x:v>多桩（待核）</x:v>
      </x:c>
      <x:c r="I23" s="55"/>
      <x:c r="J23" s="55" t="str">
        <x:v>00:00—24:00</x:v>
      </x:c>
      <x:c r="K23" s="55"/>
      <x:c r="L23" s="55"/>
      <x:c r="M23" s="55" t="n">
        <x:v>0</x:v>
      </x:c>
      <x:c r="N23" s="55" t="n">
        <x:v>0</x:v>
      </x:c>
      <x:c r="O23" s="38" t="str">
        <x:v>EV 充电站运营成本不计入末端配送模型（仅作配套参考）</x:v>
      </x:c>
      <x:c r="P23" s="38" t="str">
        <x:v>C03-R178</x:v>
      </x:c>
      <x:c r="Q23" s="38" t="str">
        <x:v>否</x:v>
      </x:c>
      <x:c r="R23" s="38" t="str">
        <x:v>待核验</x:v>
      </x:c>
      <x:c r="S23" s="38" t="str">
        <x:v>原始记录（推定项保留）</x:v>
      </x:c>
      <x:c r="T23" s="38" t="str">
        <x:v>中低</x:v>
      </x:c>
      <x:c r="U23" s="38" t="str">
        <x:v>原始社区数据表</x:v>
      </x:c>
      <x:c r="V23" s="38" t="str"/>
    </x:row>
    <x:row r="24" ht="60" customHeight="1">
      <x:c r="A24" s="38" t="str">
        <x:v>C03-F09</x:v>
      </x:c>
      <x:c r="B24" s="38" t="str">
        <x:v>C03</x:v>
      </x:c>
      <x:c r="C24" s="38" t="str">
        <x:v>星星充电（万源街×天华北街）</x:v>
      </x:c>
      <x:c r="D24" s="38" t="str">
        <x:v>充电站</x:v>
      </x:c>
      <x:c r="E24" s="38" t="str">
        <x:v>现有</x:v>
      </x:c>
      <x:c r="F24" s="48" t="n">
        <x:v>116.486357</x:v>
      </x:c>
      <x:c r="G24" s="48" t="n">
        <x:v>39.801652</x:v>
      </x:c>
      <x:c r="H24" s="38" t="str">
        <x:v>多桩（待核）</x:v>
      </x:c>
      <x:c r="I24" s="55"/>
      <x:c r="J24" s="55" t="str">
        <x:v>00:00—24:00</x:v>
      </x:c>
      <x:c r="K24" s="55"/>
      <x:c r="L24" s="55"/>
      <x:c r="M24" s="55" t="n">
        <x:v>0</x:v>
      </x:c>
      <x:c r="N24" s="55" t="n">
        <x:v>0</x:v>
      </x:c>
      <x:c r="O24" s="38" t="str">
        <x:v>EV 充电站运营成本不计入末端配送模型（仅作配套参考）</x:v>
      </x:c>
      <x:c r="P24" s="38" t="str">
        <x:v>C03-R195</x:v>
      </x:c>
      <x:c r="Q24" s="38" t="str">
        <x:v>否</x:v>
      </x:c>
      <x:c r="R24" s="38" t="str">
        <x:v>待核验</x:v>
      </x:c>
      <x:c r="S24" s="38" t="str">
        <x:v>原始记录（推定项保留）</x:v>
      </x:c>
      <x:c r="T24" s="38" t="str">
        <x:v>中低</x:v>
      </x:c>
      <x:c r="U24" s="38" t="str">
        <x:v>原始社区数据表</x:v>
      </x:c>
      <x:c r="V24" s="38" t="str"/>
    </x:row>
    <x:row r="25" ht="60" customHeight="1">
      <x:c r="A25" s="38" t="str">
        <x:v>C03-F10</x:v>
      </x:c>
      <x:c r="B25" s="38" t="str">
        <x:v>C03</x:v>
      </x:c>
      <x:c r="C25" s="38" t="str">
        <x:v>东门智能快递柜（候选）</x:v>
      </x:c>
      <x:c r="D25" s="38" t="str">
        <x:v>快递柜</x:v>
      </x:c>
      <x:c r="E25" s="38" t="str">
        <x:v>候选</x:v>
      </x:c>
      <x:c r="F25" s="48" t="n">
        <x:v>116.491521</x:v>
      </x:c>
      <x:c r="G25" s="48" t="n">
        <x:v>39.803096</x:v>
      </x:c>
      <x:c r="H25" s="38" t="str">
        <x:v>56 格口（推定）</x:v>
      </x:c>
      <x:c r="I25" s="55" t="n">
        <x:v>0</x:v>
      </x:c>
      <x:c r="J25" s="55" t="str">
        <x:v>00:00—24:00</x:v>
      </x:c>
      <x:c r="K25" s="55" t="n">
        <x:v>2.25</x:v>
      </x:c>
      <x:c r="L25" s="55" t="n">
        <x:v>0.5</x:v>
      </x:c>
      <x:c r="M25" s="55" t="n">
        <x:v>30000</x:v>
      </x:c>
      <x:c r="N25" s="55" t="n">
        <x:v>14000</x:v>
      </x:c>
      <x:c r="O25" s="38" t="str">
        <x:v>14000 元/组·年（场地租金 8000 + 维护 3000 + 电费 600 + 联网 1200 + 物业 500）</x:v>
      </x:c>
      <x:c r="P25" s="38" t="str">
        <x:v>C03-R144</x:v>
      </x:c>
      <x:c r="Q25" s="38" t="str">
        <x:v>是</x:v>
      </x:c>
      <x:c r="R25" s="38" t="str">
        <x:v>待核验</x:v>
      </x:c>
      <x:c r="S25" s="38" t="str">
        <x:v>原始记录（推定项保留）</x:v>
      </x:c>
      <x:c r="T25" s="38" t="str">
        <x:v>中低</x:v>
      </x:c>
      <x:c r="U25" s="38" t="str">
        <x:v>原始社区数据表</x:v>
      </x:c>
      <x:c r="V25" s="38" t="str"/>
    </x:row>
    <x:row r="26" ht="60" customHeight="1">
      <x:c r="A26" s="38" t="str">
        <x:v>C03-F11</x:v>
      </x:c>
      <x:c r="B26" s="38" t="str">
        <x:v>C03</x:v>
      </x:c>
      <x:c r="C26" s="38" t="str">
        <x:v>东门无人配送车换电柜（候选）</x:v>
      </x:c>
      <x:c r="D26" s="38" t="str">
        <x:v>换电站</x:v>
      </x:c>
      <x:c r="E26" s="38" t="str">
        <x:v>候选</x:v>
      </x:c>
      <x:c r="F26" s="48" t="n">
        <x:v>116.491686</x:v>
      </x:c>
      <x:c r="G26" s="48" t="n">
        <x:v>39.803142</x:v>
      </x:c>
      <x:c r="H26" s="38" t="str">
        <x:v>1 柜 + 4 组电池（推定）</x:v>
      </x:c>
      <x:c r="I26" s="55" t="n">
        <x:v>0</x:v>
      </x:c>
      <x:c r="J26" s="55" t="str">
        <x:v>00:00—24:00</x:v>
      </x:c>
      <x:c r="K26" s="55" t="n">
        <x:v>6</x:v>
      </x:c>
      <x:c r="L26" s="55" t="n">
        <x:v>8</x:v>
      </x:c>
      <x:c r="M26" s="55" t="n">
        <x:v>80000</x:v>
      </x:c>
      <x:c r="N26" s="55" t="n">
        <x:v>4800</x:v>
      </x:c>
      <x:c r="O26" s="38" t="str">
        <x:v>4800 元/年（换电柜月耗电约 250 度 × 低谷电价 0.60 × 12 ≈ 1800 + 维护分摊 3000）</x:v>
      </x:c>
      <x:c r="P26" s="38" t="str">
        <x:v>C03-R144</x:v>
      </x:c>
      <x:c r="Q26" s="38" t="str">
        <x:v>是</x:v>
      </x:c>
      <x:c r="R26" s="38" t="str">
        <x:v>待核验</x:v>
      </x:c>
      <x:c r="S26" s="38" t="str">
        <x:v>原始记录（推定项保留）</x:v>
      </x:c>
      <x:c r="T26" s="38" t="str">
        <x:v>中低</x:v>
      </x:c>
      <x:c r="U26" s="38" t="str">
        <x:v>原始社区数据表</x:v>
      </x:c>
      <x:c r="V26" s="38" t="str"/>
    </x:row>
    <x:row r="27" ht="60" customHeight="1">
      <x:c r="A27" s="38" t="str">
        <x:v>C03-F12</x:v>
      </x:c>
      <x:c r="B27" s="38" t="str">
        <x:v>C03</x:v>
      </x:c>
      <x:c r="C27" s="38" t="str">
        <x:v>东门无人车接驳装卸点（候选）</x:v>
      </x:c>
      <x:c r="D27" s="38" t="str">
        <x:v>接驳点</x:v>
      </x:c>
      <x:c r="E27" s="38" t="str">
        <x:v>候选</x:v>
      </x:c>
      <x:c r="F27" s="48" t="n">
        <x:v>116.491411</x:v>
      </x:c>
      <x:c r="G27" s="48" t="n">
        <x:v>39.803065</x:v>
      </x:c>
      <x:c r="H27" s="38" t="str">
        <x:v>2 个车位（X3 泊位，推定）</x:v>
      </x:c>
      <x:c r="I27" s="55" t="n">
        <x:v>0</x:v>
      </x:c>
      <x:c r="J27" s="55" t="str">
        <x:v>06:00—23:00（推定）</x:v>
      </x:c>
      <x:c r="K27" s="55" t="n">
        <x:v>15</x:v>
      </x:c>
      <x:c r="L27" s="55" t="n">
        <x:v>0</x:v>
      </x:c>
      <x:c r="M27" s="55" t="n">
        <x:v>0</x:v>
      </x:c>
      <x:c r="N27" s="55" t="n">
        <x:v>0</x:v>
      </x:c>
      <x:c r="O27" s="38" t="str">
        <x:v>利用小区内部道路侧向空间，不新增租金</x:v>
      </x:c>
      <x:c r="P27" s="38" t="str">
        <x:v>C03-R144</x:v>
      </x:c>
      <x:c r="Q27" s="38" t="str">
        <x:v>是</x:v>
      </x:c>
      <x:c r="R27" s="38" t="str">
        <x:v>待核验</x:v>
      </x:c>
      <x:c r="S27" s="38" t="str">
        <x:v>原始记录（推定项保留）</x:v>
      </x:c>
      <x:c r="T27" s="38" t="str">
        <x:v>中低</x:v>
      </x:c>
      <x:c r="U27" s="38" t="str">
        <x:v>原始社区数据表</x:v>
      </x:c>
      <x:c r="V27" s="38" t="str"/>
    </x:row>
    <x:row r="28" ht="60" customHeight="1">
      <x:c r="A28" s="38" t="str">
        <x:v>C04-F01</x:v>
      </x:c>
      <x:c r="B28" s="38" t="str">
        <x:v>C04</x:v>
      </x:c>
      <x:c r="C28" s="38" t="str">
        <x:v>电动自行车集中充电区（位置近似）</x:v>
      </x:c>
      <x:c r="D28" s="38" t="str">
        <x:v>充电区</x:v>
      </x:c>
      <x:c r="E28" s="38" t="str">
        <x:v>现有</x:v>
      </x:c>
      <x:c r="F28" s="48" t="n">
        <x:v>116.5043</x:v>
      </x:c>
      <x:c r="G28" s="48" t="n">
        <x:v>39.7618</x:v>
      </x:c>
      <x:c r="H28" s="38" t="str">
        <x:v>待核</x:v>
      </x:c>
      <x:c r="I28" s="55"/>
      <x:c r="J28" s="55" t="str">
        <x:v>待核</x:v>
      </x:c>
      <x:c r="K28" s="55"/>
      <x:c r="L28" s="55"/>
      <x:c r="M28" s="55" t="n">
        <x:v>0</x:v>
      </x:c>
      <x:c r="N28" s="55" t="n">
        <x:v>0</x:v>
      </x:c>
      <x:c r="O28" s="38" t="str">
        <x:v>现有设施，仅作供电和换电候选条件参考</x:v>
      </x:c>
      <x:c r="P28" s="38" t="str">
        <x:v>C04-R003</x:v>
      </x:c>
      <x:c r="Q28" s="38" t="str">
        <x:v>否</x:v>
      </x:c>
      <x:c r="R28" s="38" t="str">
        <x:v>待核验位置与兼容性</x:v>
      </x:c>
      <x:c r="S28" s="38" t="str">
        <x:v>官方确认存在+位置推定</x:v>
      </x:c>
      <x:c r="T28" s="38" t="str">
        <x:v>中低</x:v>
      </x:c>
      <x:c r="U28" s="38" t="str">
        <x:v>北京日报北京号：社区设置充电桩和电梯阻车系统</x:v>
      </x:c>
      <x:c r="V28" s="38" t="str">
        <x:v>https://peking.bjd.com.cn/content/s61614c1de4b08aed9d826095.html</x:v>
      </x:c>
    </x:row>
    <x:row r="29" ht="60" customHeight="1">
      <x:c r="A29" s="38" t="str">
        <x:v>C04-F02</x:v>
      </x:c>
      <x:c r="B29" s="38" t="str">
        <x:v>C04</x:v>
      </x:c>
      <x:c r="C29" s="38" t="str">
        <x:v>18号楼社区服务中心（位置近似）</x:v>
      </x:c>
      <x:c r="D29" s="38" t="str">
        <x:v>社区服务设施</x:v>
      </x:c>
      <x:c r="E29" s="38" t="str">
        <x:v>现有</x:v>
      </x:c>
      <x:c r="F29" s="48" t="n">
        <x:v>116.5036</x:v>
      </x:c>
      <x:c r="G29" s="48" t="n">
        <x:v>39.7632</x:v>
      </x:c>
      <x:c r="H29" s="38" t="str">
        <x:v>1700㎡中心中的社区空间，物流可用面积待核</x:v>
      </x:c>
      <x:c r="I29" s="55"/>
      <x:c r="J29" s="55" t="str">
        <x:v>待核</x:v>
      </x:c>
      <x:c r="K29" s="55"/>
      <x:c r="L29" s="55"/>
      <x:c r="M29" s="55" t="n">
        <x:v>0</x:v>
      </x:c>
      <x:c r="N29" s="55" t="n">
        <x:v>0</x:v>
      </x:c>
      <x:c r="O29" s="38" t="str">
        <x:v>现有社区设施，不默认用于物流</x:v>
      </x:c>
      <x:c r="P29" s="38" t="str">
        <x:v>C04-R002</x:v>
      </x:c>
      <x:c r="Q29" s="38" t="str">
        <x:v>否</x:v>
      </x:c>
      <x:c r="R29" s="38" t="str">
        <x:v>待确认物业授权、面积和消防</x:v>
      </x:c>
      <x:c r="S29" s="38" t="str">
        <x:v>公开报道+位置推定</x:v>
      </x:c>
      <x:c r="T29" s="38" t="str">
        <x:v>中低</x:v>
      </x:c>
      <x:c r="U29" s="38" t="str">
        <x:v>亦城家园中心亦城茗苑站位于18号楼商业区</x:v>
      </x:c>
      <x:c r="V29" s="38" t="str">
        <x:v>https://www.eeecun.com/?nid=2516&amp;r=home%2Fdefault%2Fnew</x:v>
      </x:c>
    </x:row>
    <x:row r="30" ht="60" customHeight="1">
      <x:c r="A30" s="38" t="str">
        <x:v>C04-F03</x:v>
      </x:c>
      <x:c r="B30" s="38" t="str">
        <x:v>C04</x:v>
      </x:c>
      <x:c r="C30" s="38" t="str">
        <x:v>东侧入口智能快递柜（候选）</x:v>
      </x:c>
      <x:c r="D30" s="38" t="str">
        <x:v>快递柜</x:v>
      </x:c>
      <x:c r="E30" s="38" t="str">
        <x:v>候选</x:v>
      </x:c>
      <x:c r="F30" s="48" t="n">
        <x:v>116.5063</x:v>
      </x:c>
      <x:c r="G30" s="48" t="n">
        <x:v>39.76265</x:v>
      </x:c>
      <x:c r="H30" s="38" t="str">
        <x:v>104格（情景）</x:v>
      </x:c>
      <x:c r="I30" s="55" t="n">
        <x:v>0</x:v>
      </x:c>
      <x:c r="J30" s="55" t="str">
        <x:v>00:00—24:00</x:v>
      </x:c>
      <x:c r="K30" s="55" t="n">
        <x:v>2.8</x:v>
      </x:c>
      <x:c r="L30" s="55" t="n">
        <x:v>0.6</x:v>
      </x:c>
      <x:c r="M30" s="55" t="n">
        <x:v>30000</x:v>
      </x:c>
      <x:c r="N30" s="55" t="n">
        <x:v>14000</x:v>
      </x:c>
      <x:c r="O30" s="38" t="str">
        <x:v>统一情景参数</x:v>
      </x:c>
      <x:c r="P30" s="38" t="str">
        <x:v>C04-R001</x:v>
      </x:c>
      <x:c r="Q30" s="38" t="str">
        <x:v>是</x:v>
      </x:c>
      <x:c r="R30" s="38" t="str">
        <x:v>待核验</x:v>
      </x:c>
      <x:c r="S30" s="38" t="str">
        <x:v>情景假设</x:v>
      </x:c>
      <x:c r="T30" s="38" t="str">
        <x:v>低</x:v>
      </x:c>
      <x:c r="U30" s="38" t="str">
        <x:v>OSM入口候选+统一设施参数</x:v>
      </x:c>
      <x:c r="V30" s="38" t="str">
        <x:v>https://www.openstreetmap.org/way/234410624</x:v>
      </x:c>
    </x:row>
    <x:row r="31" ht="60" customHeight="1">
      <x:c r="A31" s="38" t="str">
        <x:v>C04-F04</x:v>
      </x:c>
      <x:c r="B31" s="38" t="str">
        <x:v>C04</x:v>
      </x:c>
      <x:c r="C31" s="38" t="str">
        <x:v>东侧入口无人车换电柜（候选）</x:v>
      </x:c>
      <x:c r="D31" s="38" t="str">
        <x:v>换电站</x:v>
      </x:c>
      <x:c r="E31" s="38" t="str">
        <x:v>候选</x:v>
      </x:c>
      <x:c r="F31" s="48" t="n">
        <x:v>116.50625</x:v>
      </x:c>
      <x:c r="G31" s="48" t="n">
        <x:v>39.76261</x:v>
      </x:c>
      <x:c r="H31" s="38" t="str">
        <x:v>1柜+4组电池（情景）</x:v>
      </x:c>
      <x:c r="I31" s="55" t="n">
        <x:v>0</x:v>
      </x:c>
      <x:c r="J31" s="55" t="str">
        <x:v>00:00—24:00</x:v>
      </x:c>
      <x:c r="K31" s="55" t="n">
        <x:v>6</x:v>
      </x:c>
      <x:c r="L31" s="55" t="n">
        <x:v>8</x:v>
      </x:c>
      <x:c r="M31" s="55" t="n">
        <x:v>80000</x:v>
      </x:c>
      <x:c r="N31" s="55" t="n">
        <x:v>4800</x:v>
      </x:c>
      <x:c r="O31" s="38" t="str">
        <x:v>统一情景参数</x:v>
      </x:c>
      <x:c r="P31" s="38" t="str">
        <x:v>C04-R001</x:v>
      </x:c>
      <x:c r="Q31" s="38" t="str">
        <x:v>是</x:v>
      </x:c>
      <x:c r="R31" s="38" t="str">
        <x:v>待核验</x:v>
      </x:c>
      <x:c r="S31" s="38" t="str">
        <x:v>情景假设</x:v>
      </x:c>
      <x:c r="T31" s="38" t="str">
        <x:v>低</x:v>
      </x:c>
      <x:c r="U31" s="38" t="str">
        <x:v>OSM入口候选+统一设施参数</x:v>
      </x:c>
      <x:c r="V31" s="38" t="str">
        <x:v>https://www.openstreetmap.org/way/234410624</x:v>
      </x:c>
    </x:row>
    <x:row r="32" ht="60" customHeight="1">
      <x:c r="A32" s="38" t="str">
        <x:v>C04-F05</x:v>
      </x:c>
      <x:c r="B32" s="38" t="str">
        <x:v>C04</x:v>
      </x:c>
      <x:c r="C32" s="38" t="str">
        <x:v>东侧入口无人车接驳点（候选）</x:v>
      </x:c>
      <x:c r="D32" s="38" t="str">
        <x:v>接驳点</x:v>
      </x:c>
      <x:c r="E32" s="38" t="str">
        <x:v>候选</x:v>
      </x:c>
      <x:c r="F32" s="48" t="n">
        <x:v>116.5062</x:v>
      </x:c>
      <x:c r="G32" s="48" t="n">
        <x:v>39.76257</x:v>
      </x:c>
      <x:c r="H32" s="38" t="str">
        <x:v>2个车位（情景）</x:v>
      </x:c>
      <x:c r="I32" s="55" t="n">
        <x:v>0</x:v>
      </x:c>
      <x:c r="J32" s="55" t="str">
        <x:v>06:00—23:00（待核）</x:v>
      </x:c>
      <x:c r="K32" s="55" t="n">
        <x:v>15</x:v>
      </x:c>
      <x:c r="L32" s="55" t="n">
        <x:v>0</x:v>
      </x:c>
      <x:c r="M32" s="55" t="n">
        <x:v>0</x:v>
      </x:c>
      <x:c r="N32" s="55" t="n">
        <x:v>0</x:v>
      </x:c>
      <x:c r="O32" s="38" t="str">
        <x:v>利用入口路侧空间，实际成本待核</x:v>
      </x:c>
      <x:c r="P32" s="38" t="str">
        <x:v>C04-R001</x:v>
      </x:c>
      <x:c r="Q32" s="38" t="str">
        <x:v>是</x:v>
      </x:c>
      <x:c r="R32" s="38" t="str">
        <x:v>待核验</x:v>
      </x:c>
      <x:c r="S32" s="38" t="str">
        <x:v>情景假设</x:v>
      </x:c>
      <x:c r="T32" s="38" t="str">
        <x:v>低</x:v>
      </x:c>
      <x:c r="U32" s="38" t="str">
        <x:v>OSM入口候选</x:v>
      </x:c>
      <x:c r="V32" s="38" t="str">
        <x:v>https://www.openstreetmap.org/way/234410624</x:v>
      </x:c>
    </x:row>
    <x:row r="33" ht="60" customHeight="1">
      <x:c r="A33" s="38" t="str">
        <x:v>C05-F01</x:v>
      </x:c>
      <x:c r="B33" s="38" t="str">
        <x:v>C05</x:v>
      </x:c>
      <x:c r="C33" s="38" t="str">
        <x:v>东门快递货架（2022年临时）</x:v>
      </x:c>
      <x:c r="D33" s="38" t="str">
        <x:v>临时货架</x:v>
      </x:c>
      <x:c r="E33" s="38" t="str">
        <x:v>历史设施</x:v>
      </x:c>
      <x:c r="F33" s="48" t="n">
        <x:v>116.4873</x:v>
      </x:c>
      <x:c r="G33" s="48" t="n">
        <x:v>39.79707</x:v>
      </x:c>
      <x:c r="H33" s="38" t="str">
        <x:v>12组货架（2022年封控期）</x:v>
      </x:c>
      <x:c r="I33" s="55"/>
      <x:c r="J33" s="55" t="str">
        <x:v>历史临时设施</x:v>
      </x:c>
      <x:c r="K33" s="55"/>
      <x:c r="L33" s="55" t="n">
        <x:v>0</x:v>
      </x:c>
      <x:c r="M33" s="55" t="n">
        <x:v>0</x:v>
      </x:c>
      <x:c r="N33" s="55" t="n">
        <x:v>0</x:v>
      </x:c>
      <x:c r="O33" s="38" t="str">
        <x:v>不作为2026年常设设施</x:v>
      </x:c>
      <x:c r="P33" s="38" t="str">
        <x:v>C05-R001</x:v>
      </x:c>
      <x:c r="Q33" s="38" t="str">
        <x:v>否</x:v>
      </x:c>
      <x:c r="R33" s="38" t="str">
        <x:v>核验是否已撤除或转为常设柜</x:v>
      </x:c>
      <x:c r="S33" s="38" t="str">
        <x:v>官方历史记录</x:v>
      </x:c>
      <x:c r="T33" s="38" t="str">
        <x:v>高（历史存在）</x:v>
      </x:c>
      <x:c r="U33" s="38" t="str">
        <x:v>经开区官方：东门入口安装12组快递货架</x:v>
      </x:c>
      <x:c r="V33" s="38" t="str">
        <x:v>https://kfqgw.beijing.gov.cn/zwgkkfq/ztzl/fkyqbjjkqzxdkfq/rdxwkfq/202206/t20220622_4228063.html</x:v>
      </x:c>
    </x:row>
    <x:row r="34" ht="60" customHeight="1">
      <x:c r="A34" s="38" t="str">
        <x:v>C05-F02</x:v>
      </x:c>
      <x:c r="B34" s="38" t="str">
        <x:v>C05</x:v>
      </x:c>
      <x:c r="C34" s="38" t="str">
        <x:v>东门智能快递柜（候选）</x:v>
      </x:c>
      <x:c r="D34" s="38" t="str">
        <x:v>快递柜</x:v>
      </x:c>
      <x:c r="E34" s="38" t="str">
        <x:v>候选</x:v>
      </x:c>
      <x:c r="F34" s="48" t="n">
        <x:v>116.48726</x:v>
      </x:c>
      <x:c r="G34" s="48" t="n">
        <x:v>39.79702</x:v>
      </x:c>
      <x:c r="H34" s="38" t="str">
        <x:v>104格（情景）</x:v>
      </x:c>
      <x:c r="I34" s="55" t="n">
        <x:v>0</x:v>
      </x:c>
      <x:c r="J34" s="55" t="str">
        <x:v>00:00—24:00</x:v>
      </x:c>
      <x:c r="K34" s="55" t="n">
        <x:v>2.8</x:v>
      </x:c>
      <x:c r="L34" s="55" t="n">
        <x:v>0.6</x:v>
      </x:c>
      <x:c r="M34" s="55" t="n">
        <x:v>30000</x:v>
      </x:c>
      <x:c r="N34" s="55" t="n">
        <x:v>14000</x:v>
      </x:c>
      <x:c r="O34" s="38" t="str">
        <x:v>统一情景参数</x:v>
      </x:c>
      <x:c r="P34" s="38" t="str">
        <x:v>C05-R001</x:v>
      </x:c>
      <x:c r="Q34" s="38" t="str">
        <x:v>是</x:v>
      </x:c>
      <x:c r="R34" s="38" t="str">
        <x:v>待核验</x:v>
      </x:c>
      <x:c r="S34" s="38" t="str">
        <x:v>情景假设</x:v>
      </x:c>
      <x:c r="T34" s="38" t="str">
        <x:v>低</x:v>
      </x:c>
      <x:c r="U34" s="38" t="str">
        <x:v>官方东门位置+统一设施参数</x:v>
      </x:c>
      <x:c r="V34" s="38" t="str">
        <x:v>https://kfqgw.beijing.gov.cn/zwgkkfq/ztzl/fkyqbjjkqzxdkfq/rdxwkfq/202206/t20220622_4228063.html</x:v>
      </x:c>
    </x:row>
    <x:row r="35" ht="60" customHeight="1">
      <x:c r="A35" s="38" t="str">
        <x:v>C05-F03</x:v>
      </x:c>
      <x:c r="B35" s="38" t="str">
        <x:v>C05</x:v>
      </x:c>
      <x:c r="C35" s="38" t="str">
        <x:v>东门无人车换电柜（候选）</x:v>
      </x:c>
      <x:c r="D35" s="38" t="str">
        <x:v>换电站</x:v>
      </x:c>
      <x:c r="E35" s="38" t="str">
        <x:v>候选</x:v>
      </x:c>
      <x:c r="F35" s="48" t="n">
        <x:v>116.48721</x:v>
      </x:c>
      <x:c r="G35" s="48" t="n">
        <x:v>39.79698</x:v>
      </x:c>
      <x:c r="H35" s="38" t="str">
        <x:v>1柜+4组电池（情景）</x:v>
      </x:c>
      <x:c r="I35" s="55" t="n">
        <x:v>0</x:v>
      </x:c>
      <x:c r="J35" s="55" t="str">
        <x:v>00:00—24:00</x:v>
      </x:c>
      <x:c r="K35" s="55" t="n">
        <x:v>6</x:v>
      </x:c>
      <x:c r="L35" s="55" t="n">
        <x:v>8</x:v>
      </x:c>
      <x:c r="M35" s="55" t="n">
        <x:v>80000</x:v>
      </x:c>
      <x:c r="N35" s="55" t="n">
        <x:v>4800</x:v>
      </x:c>
      <x:c r="O35" s="38" t="str">
        <x:v>统一情景参数</x:v>
      </x:c>
      <x:c r="P35" s="38" t="str">
        <x:v>C05-R001</x:v>
      </x:c>
      <x:c r="Q35" s="38" t="str">
        <x:v>是</x:v>
      </x:c>
      <x:c r="R35" s="38" t="str">
        <x:v>待核验</x:v>
      </x:c>
      <x:c r="S35" s="38" t="str">
        <x:v>情景假设</x:v>
      </x:c>
      <x:c r="T35" s="38" t="str">
        <x:v>低</x:v>
      </x:c>
      <x:c r="U35" s="38" t="str">
        <x:v>官方东门位置+统一设施参数</x:v>
      </x:c>
      <x:c r="V35" s="38" t="str">
        <x:v>https://kfqgw.beijing.gov.cn/zwgkkfq/ztzl/fkyqbjjkqzxdkfq/rdxwkfq/202206/t20220622_4228063.html</x:v>
      </x:c>
    </x:row>
    <x:row r="36" ht="60" customHeight="1">
      <x:c r="A36" s="38" t="str">
        <x:v>C05-F04</x:v>
      </x:c>
      <x:c r="B36" s="38" t="str">
        <x:v>C05</x:v>
      </x:c>
      <x:c r="C36" s="38" t="str">
        <x:v>东门无人车接驳点（候选）</x:v>
      </x:c>
      <x:c r="D36" s="38" t="str">
        <x:v>接驳点</x:v>
      </x:c>
      <x:c r="E36" s="38" t="str">
        <x:v>候选</x:v>
      </x:c>
      <x:c r="F36" s="48" t="n">
        <x:v>116.48716</x:v>
      </x:c>
      <x:c r="G36" s="48" t="n">
        <x:v>39.79694</x:v>
      </x:c>
      <x:c r="H36" s="38" t="str">
        <x:v>2个车位（情景）</x:v>
      </x:c>
      <x:c r="I36" s="55" t="n">
        <x:v>0</x:v>
      </x:c>
      <x:c r="J36" s="55" t="str">
        <x:v>06:00—23:00（待核）</x:v>
      </x:c>
      <x:c r="K36" s="55" t="n">
        <x:v>15</x:v>
      </x:c>
      <x:c r="L36" s="55" t="n">
        <x:v>0</x:v>
      </x:c>
      <x:c r="M36" s="55" t="n">
        <x:v>0</x:v>
      </x:c>
      <x:c r="N36" s="55" t="n">
        <x:v>0</x:v>
      </x:c>
      <x:c r="O36" s="38" t="str">
        <x:v>利用入口空间，实际成本待核</x:v>
      </x:c>
      <x:c r="P36" s="38" t="str">
        <x:v>C05-R001</x:v>
      </x:c>
      <x:c r="Q36" s="38" t="str">
        <x:v>是</x:v>
      </x:c>
      <x:c r="R36" s="38" t="str">
        <x:v>待核验</x:v>
      </x:c>
      <x:c r="S36" s="38" t="str">
        <x:v>情景假设</x:v>
      </x:c>
      <x:c r="T36" s="38" t="str">
        <x:v>低</x:v>
      </x:c>
      <x:c r="U36" s="38" t="str">
        <x:v>官方东门位置</x:v>
      </x:c>
      <x:c r="V36" s="38" t="str">
        <x:v>https://kfqgw.beijing.gov.cn/zwgkkfq/ztzl/fkyqbjjkqzxdkfq/rdxwkfq/202206/t20220622_4228063.html</x:v>
      </x:c>
    </x:row>
    <x:row r="37" ht="60" customHeight="1">
      <x:c r="A37" s="38" t="str">
        <x:v>C05-F05</x:v>
      </x:c>
      <x:c r="B37" s="38" t="str">
        <x:v>C05</x:v>
      </x:c>
      <x:c r="C37" s="38" t="str">
        <x:v>智慧康养机器人养老驿站</x:v>
      </x:c>
      <x:c r="D37" s="38" t="str">
        <x:v>社区服务设施</x:v>
      </x:c>
      <x:c r="E37" s="38" t="str">
        <x:v>现有</x:v>
      </x:c>
      <x:c r="F37" s="48" t="n">
        <x:v>116.4851</x:v>
      </x:c>
      <x:c r="G37" s="48" t="n">
        <x:v>39.79696</x:v>
      </x:c>
      <x:c r="H37" s="38" t="str">
        <x:v>1100㎡（非物流容量）</x:v>
      </x:c>
      <x:c r="I37" s="55"/>
      <x:c r="J37" s="55" t="str">
        <x:v>待核</x:v>
      </x:c>
      <x:c r="K37" s="55" t="n">
        <x:v>1100</x:v>
      </x:c>
      <x:c r="L37" s="55"/>
      <x:c r="M37" s="55" t="n">
        <x:v>0</x:v>
      </x:c>
      <x:c r="N37" s="55" t="n">
        <x:v>0</x:v>
      </x:c>
      <x:c r="O37" s="38" t="str">
        <x:v>现有养老驿站，不默认用于物流</x:v>
      </x:c>
      <x:c r="P37" s="38" t="str">
        <x:v>C05-R003</x:v>
      </x:c>
      <x:c r="Q37" s="38" t="str">
        <x:v>否</x:v>
      </x:c>
      <x:c r="R37" s="38" t="str">
        <x:v>核验位置、物流协同与物业授权</x:v>
      </x:c>
      <x:c r="S37" s="38" t="str">
        <x:v>官方确认+位置近似</x:v>
      </x:c>
      <x:c r="T37" s="38" t="str">
        <x:v>中</x:v>
      </x:c>
      <x:c r="U37" s="38" t="str">
        <x:v>经开区官方：2026年3月在听涛雅苑落地1100㎡机器人养老驿站</x:v>
      </x:c>
      <x:c r="V37" s="38" t="str">
        <x:v>https://kfqgw.beijing.gov.cn/ywdt/gsprcgd/lxyz/202604/t20260401_4572004.html</x:v>
      </x:c>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row r="66">
      <x:c r="A66" s="2"/>
      <x:c r="B66" s="2"/>
      <x:c r="C66" s="2"/>
      <x:c r="D66" s="2"/>
      <x:c r="E66" s="2"/>
      <x:c r="F66" s="2"/>
      <x:c r="G66" s="2"/>
      <x:c r="H66" s="2"/>
      <x:c r="I66" s="2"/>
      <x:c r="J66" s="2"/>
      <x:c r="K66" s="2"/>
      <x:c r="L66" s="2"/>
      <x:c r="M66" s="2"/>
      <x:c r="N66" s="2"/>
      <x:c r="O66" s="2"/>
      <x:c r="P66" s="2"/>
      <x:c r="Q66" s="2"/>
      <x:c r="R66" s="2"/>
      <x:c r="S66" s="2"/>
      <x:c r="T66" s="2"/>
      <x:c r="U66" s="2"/>
      <x:c r="V66" s="2"/>
    </x:row>
    <x:row r="67">
      <x:c r="A67" s="2"/>
      <x:c r="B67" s="2"/>
      <x:c r="C67" s="2"/>
      <x:c r="D67" s="2"/>
      <x:c r="E67" s="2"/>
      <x:c r="F67" s="2"/>
      <x:c r="G67" s="2"/>
      <x:c r="H67" s="2"/>
      <x:c r="I67" s="2"/>
      <x:c r="J67" s="2"/>
      <x:c r="K67" s="2"/>
      <x:c r="L67" s="2"/>
      <x:c r="M67" s="2"/>
      <x:c r="N67" s="2"/>
      <x:c r="O67" s="2"/>
      <x:c r="P67" s="2"/>
      <x:c r="Q67" s="2"/>
      <x:c r="R67" s="2"/>
      <x:c r="S67" s="2"/>
      <x:c r="T67" s="2"/>
      <x:c r="U67" s="2"/>
      <x:c r="V67" s="2"/>
    </x:row>
    <x:row r="68">
      <x:c r="A68" s="2"/>
      <x:c r="B68" s="2"/>
      <x:c r="C68" s="2"/>
      <x:c r="D68" s="2"/>
      <x:c r="E68" s="2"/>
      <x:c r="F68" s="2"/>
      <x:c r="G68" s="2"/>
      <x:c r="H68" s="2"/>
      <x:c r="I68" s="2"/>
      <x:c r="J68" s="2"/>
      <x:c r="K68" s="2"/>
      <x:c r="L68" s="2"/>
      <x:c r="M68" s="2"/>
      <x:c r="N68" s="2"/>
      <x:c r="O68" s="2"/>
      <x:c r="P68" s="2"/>
      <x:c r="Q68" s="2"/>
      <x:c r="R68" s="2"/>
      <x:c r="S68" s="2"/>
      <x:c r="T68" s="2"/>
      <x:c r="U68" s="2"/>
      <x:c r="V68" s="2"/>
    </x:row>
    <x:row r="69">
      <x:c r="A69" s="2"/>
      <x:c r="B69" s="2"/>
      <x:c r="C69" s="2"/>
      <x:c r="D69" s="2"/>
      <x:c r="E69" s="2"/>
      <x:c r="F69" s="2"/>
      <x:c r="G69" s="2"/>
      <x:c r="H69" s="2"/>
      <x:c r="I69" s="2"/>
      <x:c r="J69" s="2"/>
      <x:c r="K69" s="2"/>
      <x:c r="L69" s="2"/>
      <x:c r="M69" s="2"/>
      <x:c r="N69" s="2"/>
      <x:c r="O69" s="2"/>
      <x:c r="P69" s="2"/>
      <x:c r="Q69" s="2"/>
      <x:c r="R69" s="2"/>
      <x:c r="S69" s="2"/>
      <x:c r="T69" s="2"/>
      <x:c r="U69" s="2"/>
      <x:c r="V69" s="2"/>
    </x:row>
    <x:row r="70">
      <x:c r="A70" s="2"/>
      <x:c r="B70" s="2"/>
      <x:c r="C70" s="2"/>
      <x:c r="D70" s="2"/>
      <x:c r="E70" s="2"/>
      <x:c r="F70" s="2"/>
      <x:c r="G70" s="2"/>
      <x:c r="H70" s="2"/>
      <x:c r="I70" s="2"/>
      <x:c r="J70" s="2"/>
      <x:c r="K70" s="2"/>
      <x:c r="L70" s="2"/>
      <x:c r="M70" s="2"/>
      <x:c r="N70" s="2"/>
      <x:c r="O70" s="2"/>
      <x:c r="P70" s="2"/>
      <x:c r="Q70" s="2"/>
      <x:c r="R70" s="2"/>
      <x:c r="S70" s="2"/>
      <x:c r="T70" s="2"/>
      <x:c r="U70" s="2"/>
      <x:c r="V70" s="2"/>
    </x:row>
    <x:row r="71">
      <x:c r="A71" s="2"/>
      <x:c r="B71" s="2"/>
      <x:c r="C71" s="2"/>
      <x:c r="D71" s="2"/>
      <x:c r="E71" s="2"/>
      <x:c r="F71" s="2"/>
      <x:c r="G71" s="2"/>
      <x:c r="H71" s="2"/>
      <x:c r="I71" s="2"/>
      <x:c r="J71" s="2"/>
      <x:c r="K71" s="2"/>
      <x:c r="L71" s="2"/>
      <x:c r="M71" s="2"/>
      <x:c r="N71" s="2"/>
      <x:c r="O71" s="2"/>
      <x:c r="P71" s="2"/>
      <x:c r="Q71" s="2"/>
      <x:c r="R71" s="2"/>
      <x:c r="S71" s="2"/>
      <x:c r="T71" s="2"/>
      <x:c r="U71" s="2"/>
      <x:c r="V71" s="2"/>
    </x:row>
    <x:row r="72">
      <x:c r="A72" s="2"/>
      <x:c r="B72" s="2"/>
      <x:c r="C72" s="2"/>
      <x:c r="D72" s="2"/>
      <x:c r="E72" s="2"/>
      <x:c r="F72" s="2"/>
      <x:c r="G72" s="2"/>
      <x:c r="H72" s="2"/>
      <x:c r="I72" s="2"/>
      <x:c r="J72" s="2"/>
      <x:c r="K72" s="2"/>
      <x:c r="L72" s="2"/>
      <x:c r="M72" s="2"/>
      <x:c r="N72" s="2"/>
      <x:c r="O72" s="2"/>
      <x:c r="P72" s="2"/>
      <x:c r="Q72" s="2"/>
      <x:c r="R72" s="2"/>
      <x:c r="S72" s="2"/>
      <x:c r="T72" s="2"/>
      <x:c r="U72" s="2"/>
      <x:c r="V72" s="2"/>
    </x:row>
    <x:row r="73">
      <x:c r="A73" s="2"/>
      <x:c r="B73" s="2"/>
      <x:c r="C73" s="2"/>
      <x:c r="D73" s="2"/>
      <x:c r="E73" s="2"/>
      <x:c r="F73" s="2"/>
      <x:c r="G73" s="2"/>
      <x:c r="H73" s="2"/>
      <x:c r="I73" s="2"/>
      <x:c r="J73" s="2"/>
      <x:c r="K73" s="2"/>
      <x:c r="L73" s="2"/>
      <x:c r="M73" s="2"/>
      <x:c r="N73" s="2"/>
      <x:c r="O73" s="2"/>
      <x:c r="P73" s="2"/>
      <x:c r="Q73" s="2"/>
      <x:c r="R73" s="2"/>
      <x:c r="S73" s="2"/>
      <x:c r="T73" s="2"/>
      <x:c r="U73" s="2"/>
      <x:c r="V73" s="2"/>
    </x:row>
    <x:row r="74">
      <x:c r="A74" s="2"/>
      <x:c r="B74" s="2"/>
      <x:c r="C74" s="2"/>
      <x:c r="D74" s="2"/>
      <x:c r="E74" s="2"/>
      <x:c r="F74" s="2"/>
      <x:c r="G74" s="2"/>
      <x:c r="H74" s="2"/>
      <x:c r="I74" s="2"/>
      <x:c r="J74" s="2"/>
      <x:c r="K74" s="2"/>
      <x:c r="L74" s="2"/>
      <x:c r="M74" s="2"/>
      <x:c r="N74" s="2"/>
      <x:c r="O74" s="2"/>
      <x:c r="P74" s="2"/>
      <x:c r="Q74" s="2"/>
      <x:c r="R74" s="2"/>
      <x:c r="S74" s="2"/>
      <x:c r="T74" s="2"/>
      <x:c r="U74" s="2"/>
      <x:c r="V74" s="2"/>
    </x:row>
    <x:row r="75">
      <x:c r="A75" s="2"/>
      <x:c r="B75" s="2"/>
      <x:c r="C75" s="2"/>
      <x:c r="D75" s="2"/>
      <x:c r="E75" s="2"/>
      <x:c r="F75" s="2"/>
      <x:c r="G75" s="2"/>
      <x:c r="H75" s="2"/>
      <x:c r="I75" s="2"/>
      <x:c r="J75" s="2"/>
      <x:c r="K75" s="2"/>
      <x:c r="L75" s="2"/>
      <x:c r="M75" s="2"/>
      <x:c r="N75" s="2"/>
      <x:c r="O75" s="2"/>
      <x:c r="P75" s="2"/>
      <x:c r="Q75" s="2"/>
      <x:c r="R75" s="2"/>
      <x:c r="S75" s="2"/>
      <x:c r="T75" s="2"/>
      <x:c r="U75" s="2"/>
      <x:c r="V75" s="2"/>
    </x:row>
    <x:row r="76">
      <x:c r="A76" s="2"/>
      <x:c r="B76" s="2"/>
      <x:c r="C76" s="2"/>
      <x:c r="D76" s="2"/>
      <x:c r="E76" s="2"/>
      <x:c r="F76" s="2"/>
      <x:c r="G76" s="2"/>
      <x:c r="H76" s="2"/>
      <x:c r="I76" s="2"/>
      <x:c r="J76" s="2"/>
      <x:c r="K76" s="2"/>
      <x:c r="L76" s="2"/>
      <x:c r="M76" s="2"/>
      <x:c r="N76" s="2"/>
      <x:c r="O76" s="2"/>
      <x:c r="P76" s="2"/>
      <x:c r="Q76" s="2"/>
      <x:c r="R76" s="2"/>
      <x:c r="S76" s="2"/>
      <x:c r="T76" s="2"/>
      <x:c r="U76" s="2"/>
      <x:c r="V76" s="2"/>
    </x:row>
    <x:row r="77">
      <x:c r="A77" s="2"/>
      <x:c r="B77" s="2"/>
      <x:c r="C77" s="2"/>
      <x:c r="D77" s="2"/>
      <x:c r="E77" s="2"/>
      <x:c r="F77" s="2"/>
      <x:c r="G77" s="2"/>
      <x:c r="H77" s="2"/>
      <x:c r="I77" s="2"/>
      <x:c r="J77" s="2"/>
      <x:c r="K77" s="2"/>
      <x:c r="L77" s="2"/>
      <x:c r="M77" s="2"/>
      <x:c r="N77" s="2"/>
      <x:c r="O77" s="2"/>
      <x:c r="P77" s="2"/>
      <x:c r="Q77" s="2"/>
      <x:c r="R77" s="2"/>
      <x:c r="S77" s="2"/>
      <x:c r="T77" s="2"/>
      <x:c r="U77" s="2"/>
      <x:c r="V77" s="2"/>
    </x:row>
    <x:row r="78">
      <x:c r="A78" s="2"/>
      <x:c r="B78" s="2"/>
      <x:c r="C78" s="2"/>
      <x:c r="D78" s="2"/>
      <x:c r="E78" s="2"/>
      <x:c r="F78" s="2"/>
      <x:c r="G78" s="2"/>
      <x:c r="H78" s="2"/>
      <x:c r="I78" s="2"/>
      <x:c r="J78" s="2"/>
      <x:c r="K78" s="2"/>
      <x:c r="L78" s="2"/>
      <x:c r="M78" s="2"/>
      <x:c r="N78" s="2"/>
      <x:c r="O78" s="2"/>
      <x:c r="P78" s="2"/>
      <x:c r="Q78" s="2"/>
      <x:c r="R78" s="2"/>
      <x:c r="S78" s="2"/>
      <x:c r="T78" s="2"/>
      <x:c r="U78" s="2"/>
      <x:c r="V78" s="2"/>
    </x:row>
    <x:row r="79">
      <x:c r="A79" s="2"/>
      <x:c r="B79" s="2"/>
      <x:c r="C79" s="2"/>
      <x:c r="D79" s="2"/>
      <x:c r="E79" s="2"/>
      <x:c r="F79" s="2"/>
      <x:c r="G79" s="2"/>
      <x:c r="H79" s="2"/>
      <x:c r="I79" s="2"/>
      <x:c r="J79" s="2"/>
      <x:c r="K79" s="2"/>
      <x:c r="L79" s="2"/>
      <x:c r="M79" s="2"/>
      <x:c r="N79" s="2"/>
      <x:c r="O79" s="2"/>
      <x:c r="P79" s="2"/>
      <x:c r="Q79" s="2"/>
      <x:c r="R79" s="2"/>
      <x:c r="S79" s="2"/>
      <x:c r="T79" s="2"/>
      <x:c r="U79" s="2"/>
      <x:c r="V79" s="2"/>
    </x:row>
    <x:row r="80">
      <x:c r="A80" s="2"/>
      <x:c r="B80" s="2"/>
      <x:c r="C80" s="2"/>
      <x:c r="D80" s="2"/>
      <x:c r="E80" s="2"/>
      <x:c r="F80" s="2"/>
      <x:c r="G80" s="2"/>
      <x:c r="H80" s="2"/>
      <x:c r="I80" s="2"/>
      <x:c r="J80" s="2"/>
      <x:c r="K80" s="2"/>
      <x:c r="L80" s="2"/>
      <x:c r="M80" s="2"/>
      <x:c r="N80" s="2"/>
      <x:c r="O80" s="2"/>
      <x:c r="P80" s="2"/>
      <x:c r="Q80" s="2"/>
      <x:c r="R80" s="2"/>
      <x:c r="S80" s="2"/>
      <x:c r="T80" s="2"/>
      <x:c r="U80" s="2"/>
      <x:c r="V80" s="2"/>
    </x:row>
    <x:row r="81">
      <x:c r="A81" s="2"/>
      <x:c r="B81" s="2"/>
      <x:c r="C81" s="2"/>
      <x:c r="D81" s="2"/>
      <x:c r="E81" s="2"/>
      <x:c r="F81" s="2"/>
      <x:c r="G81" s="2"/>
      <x:c r="H81" s="2"/>
      <x:c r="I81" s="2"/>
      <x:c r="J81" s="2"/>
      <x:c r="K81" s="2"/>
      <x:c r="L81" s="2"/>
      <x:c r="M81" s="2"/>
      <x:c r="N81" s="2"/>
      <x:c r="O81" s="2"/>
      <x:c r="P81" s="2"/>
      <x:c r="Q81" s="2"/>
      <x:c r="R81" s="2"/>
      <x:c r="S81" s="2"/>
      <x:c r="T81" s="2"/>
      <x:c r="U81" s="2"/>
      <x:c r="V81" s="2"/>
    </x:row>
    <x:row r="82">
      <x:c r="A82" s="2"/>
      <x:c r="B82" s="2"/>
      <x:c r="C82" s="2"/>
      <x:c r="D82" s="2"/>
      <x:c r="E82" s="2"/>
      <x:c r="F82" s="2"/>
      <x:c r="G82" s="2"/>
      <x:c r="H82" s="2"/>
      <x:c r="I82" s="2"/>
      <x:c r="J82" s="2"/>
      <x:c r="K82" s="2"/>
      <x:c r="L82" s="2"/>
      <x:c r="M82" s="2"/>
      <x:c r="N82" s="2"/>
      <x:c r="O82" s="2"/>
      <x:c r="P82" s="2"/>
      <x:c r="Q82" s="2"/>
      <x:c r="R82" s="2"/>
      <x:c r="S82" s="2"/>
      <x:c r="T82" s="2"/>
      <x:c r="U82" s="2"/>
      <x:c r="V82" s="2"/>
    </x:row>
    <x:row r="83">
      <x:c r="A83" s="2"/>
      <x:c r="B83" s="2"/>
      <x:c r="C83" s="2"/>
      <x:c r="D83" s="2"/>
      <x:c r="E83" s="2"/>
      <x:c r="F83" s="2"/>
      <x:c r="G83" s="2"/>
      <x:c r="H83" s="2"/>
      <x:c r="I83" s="2"/>
      <x:c r="J83" s="2"/>
      <x:c r="K83" s="2"/>
      <x:c r="L83" s="2"/>
      <x:c r="M83" s="2"/>
      <x:c r="N83" s="2"/>
      <x:c r="O83" s="2"/>
      <x:c r="P83" s="2"/>
      <x:c r="Q83" s="2"/>
      <x:c r="R83" s="2"/>
      <x:c r="S83" s="2"/>
      <x:c r="T83" s="2"/>
      <x:c r="U83" s="2"/>
      <x:c r="V83" s="2"/>
    </x:row>
    <x:row r="84">
      <x:c r="A84" s="2"/>
      <x:c r="B84" s="2"/>
      <x:c r="C84" s="2"/>
      <x:c r="D84" s="2"/>
      <x:c r="E84" s="2"/>
      <x:c r="F84" s="2"/>
      <x:c r="G84" s="2"/>
      <x:c r="H84" s="2"/>
      <x:c r="I84" s="2"/>
      <x:c r="J84" s="2"/>
      <x:c r="K84" s="2"/>
      <x:c r="L84" s="2"/>
      <x:c r="M84" s="2"/>
      <x:c r="N84" s="2"/>
      <x:c r="O84" s="2"/>
      <x:c r="P84" s="2"/>
      <x:c r="Q84" s="2"/>
      <x:c r="R84" s="2"/>
      <x:c r="S84" s="2"/>
      <x:c r="T84" s="2"/>
      <x:c r="U84" s="2"/>
      <x:c r="V84" s="2"/>
    </x:row>
    <x:row r="85">
      <x:c r="A85" s="2"/>
      <x:c r="B85" s="2"/>
      <x:c r="C85" s="2"/>
      <x:c r="D85" s="2"/>
      <x:c r="E85" s="2"/>
      <x:c r="F85" s="2"/>
      <x:c r="G85" s="2"/>
      <x:c r="H85" s="2"/>
      <x:c r="I85" s="2"/>
      <x:c r="J85" s="2"/>
      <x:c r="K85" s="2"/>
      <x:c r="L85" s="2"/>
      <x:c r="M85" s="2"/>
      <x:c r="N85" s="2"/>
      <x:c r="O85" s="2"/>
      <x:c r="P85" s="2"/>
      <x:c r="Q85" s="2"/>
      <x:c r="R85" s="2"/>
      <x:c r="S85" s="2"/>
      <x:c r="T85" s="2"/>
      <x:c r="U85" s="2"/>
      <x:c r="V85" s="2"/>
    </x:row>
    <x:row r="86">
      <x:c r="A86" s="2"/>
      <x:c r="B86" s="2"/>
      <x:c r="C86" s="2"/>
      <x:c r="D86" s="2"/>
      <x:c r="E86" s="2"/>
      <x:c r="F86" s="2"/>
      <x:c r="G86" s="2"/>
      <x:c r="H86" s="2"/>
      <x:c r="I86" s="2"/>
      <x:c r="J86" s="2"/>
      <x:c r="K86" s="2"/>
      <x:c r="L86" s="2"/>
      <x:c r="M86" s="2"/>
      <x:c r="N86" s="2"/>
      <x:c r="O86" s="2"/>
      <x:c r="P86" s="2"/>
      <x:c r="Q86" s="2"/>
      <x:c r="R86" s="2"/>
      <x:c r="S86" s="2"/>
      <x:c r="T86" s="2"/>
      <x:c r="U86" s="2"/>
      <x:c r="V86" s="2"/>
    </x:row>
    <x:row r="87">
      <x:c r="A87" s="2"/>
      <x:c r="B87" s="2"/>
      <x:c r="C87" s="2"/>
      <x:c r="D87" s="2"/>
      <x:c r="E87" s="2"/>
      <x:c r="F87" s="2"/>
      <x:c r="G87" s="2"/>
      <x:c r="H87" s="2"/>
      <x:c r="I87" s="2"/>
      <x:c r="J87" s="2"/>
      <x:c r="K87" s="2"/>
      <x:c r="L87" s="2"/>
      <x:c r="M87" s="2"/>
      <x:c r="N87" s="2"/>
      <x:c r="O87" s="2"/>
      <x:c r="P87" s="2"/>
      <x:c r="Q87" s="2"/>
      <x:c r="R87" s="2"/>
      <x:c r="S87" s="2"/>
      <x:c r="T87" s="2"/>
      <x:c r="U87" s="2"/>
      <x:c r="V87" s="2"/>
    </x:row>
    <x:row r="88">
      <x:c r="A88" s="2"/>
      <x:c r="B88" s="2"/>
      <x:c r="C88" s="2"/>
      <x:c r="D88" s="2"/>
      <x:c r="E88" s="2"/>
      <x:c r="F88" s="2"/>
      <x:c r="G88" s="2"/>
      <x:c r="H88" s="2"/>
      <x:c r="I88" s="2"/>
      <x:c r="J88" s="2"/>
      <x:c r="K88" s="2"/>
      <x:c r="L88" s="2"/>
      <x:c r="M88" s="2"/>
      <x:c r="N88" s="2"/>
      <x:c r="O88" s="2"/>
      <x:c r="P88" s="2"/>
      <x:c r="Q88" s="2"/>
      <x:c r="R88" s="2"/>
      <x:c r="S88" s="2"/>
      <x:c r="T88" s="2"/>
      <x:c r="U88" s="2"/>
      <x:c r="V88" s="2"/>
    </x:row>
    <x:row r="89">
      <x:c r="A89" s="2"/>
      <x:c r="B89" s="2"/>
      <x:c r="C89" s="2"/>
      <x:c r="D89" s="2"/>
      <x:c r="E89" s="2"/>
      <x:c r="F89" s="2"/>
      <x:c r="G89" s="2"/>
      <x:c r="H89" s="2"/>
      <x:c r="I89" s="2"/>
      <x:c r="J89" s="2"/>
      <x:c r="K89" s="2"/>
      <x:c r="L89" s="2"/>
      <x:c r="M89" s="2"/>
      <x:c r="N89" s="2"/>
      <x:c r="O89" s="2"/>
      <x:c r="P89" s="2"/>
      <x:c r="Q89" s="2"/>
      <x:c r="R89" s="2"/>
      <x:c r="S89" s="2"/>
      <x:c r="T89" s="2"/>
      <x:c r="U89" s="2"/>
      <x:c r="V89" s="2"/>
    </x:row>
    <x:row r="90">
      <x:c r="A90" s="2"/>
      <x:c r="B90" s="2"/>
      <x:c r="C90" s="2"/>
      <x:c r="D90" s="2"/>
      <x:c r="E90" s="2"/>
      <x:c r="F90" s="2"/>
      <x:c r="G90" s="2"/>
      <x:c r="H90" s="2"/>
      <x:c r="I90" s="2"/>
      <x:c r="J90" s="2"/>
      <x:c r="K90" s="2"/>
      <x:c r="L90" s="2"/>
      <x:c r="M90" s="2"/>
      <x:c r="N90" s="2"/>
      <x:c r="O90" s="2"/>
      <x:c r="P90" s="2"/>
      <x:c r="Q90" s="2"/>
      <x:c r="R90" s="2"/>
      <x:c r="S90" s="2"/>
      <x:c r="T90" s="2"/>
      <x:c r="U90" s="2"/>
      <x:c r="V90" s="2"/>
    </x:row>
    <x:row r="91">
      <x:c r="A91" s="2"/>
      <x:c r="B91" s="2"/>
      <x:c r="C91" s="2"/>
      <x:c r="D91" s="2"/>
      <x:c r="E91" s="2"/>
      <x:c r="F91" s="2"/>
      <x:c r="G91" s="2"/>
      <x:c r="H91" s="2"/>
      <x:c r="I91" s="2"/>
      <x:c r="J91" s="2"/>
      <x:c r="K91" s="2"/>
      <x:c r="L91" s="2"/>
      <x:c r="M91" s="2"/>
      <x:c r="N91" s="2"/>
      <x:c r="O91" s="2"/>
      <x:c r="P91" s="2"/>
      <x:c r="Q91" s="2"/>
      <x:c r="R91" s="2"/>
      <x:c r="S91" s="2"/>
      <x:c r="T91" s="2"/>
      <x:c r="U91" s="2"/>
      <x:c r="V91" s="2"/>
    </x:row>
    <x:row r="92">
      <x:c r="A92" s="2"/>
      <x:c r="B92" s="2"/>
      <x:c r="C92" s="2"/>
      <x:c r="D92" s="2"/>
      <x:c r="E92" s="2"/>
      <x:c r="F92" s="2"/>
      <x:c r="G92" s="2"/>
      <x:c r="H92" s="2"/>
      <x:c r="I92" s="2"/>
      <x:c r="J92" s="2"/>
      <x:c r="K92" s="2"/>
      <x:c r="L92" s="2"/>
      <x:c r="M92" s="2"/>
      <x:c r="N92" s="2"/>
      <x:c r="O92" s="2"/>
      <x:c r="P92" s="2"/>
      <x:c r="Q92" s="2"/>
      <x:c r="R92" s="2"/>
      <x:c r="S92" s="2"/>
      <x:c r="T92" s="2"/>
      <x:c r="U92" s="2"/>
      <x:c r="V92" s="2"/>
    </x:row>
    <x:row r="93">
      <x:c r="A93" s="2"/>
      <x:c r="B93" s="2"/>
      <x:c r="C93" s="2"/>
      <x:c r="D93" s="2"/>
      <x:c r="E93" s="2"/>
      <x:c r="F93" s="2"/>
      <x:c r="G93" s="2"/>
      <x:c r="H93" s="2"/>
      <x:c r="I93" s="2"/>
      <x:c r="J93" s="2"/>
      <x:c r="K93" s="2"/>
      <x:c r="L93" s="2"/>
      <x:c r="M93" s="2"/>
      <x:c r="N93" s="2"/>
      <x:c r="O93" s="2"/>
      <x:c r="P93" s="2"/>
      <x:c r="Q93" s="2"/>
      <x:c r="R93" s="2"/>
      <x:c r="S93" s="2"/>
      <x:c r="T93" s="2"/>
      <x:c r="U93" s="2"/>
      <x:c r="V93" s="2"/>
    </x:row>
    <x:row r="94">
      <x:c r="A94" s="2"/>
      <x:c r="B94" s="2"/>
      <x:c r="C94" s="2"/>
      <x:c r="D94" s="2"/>
      <x:c r="E94" s="2"/>
      <x:c r="F94" s="2"/>
      <x:c r="G94" s="2"/>
      <x:c r="H94" s="2"/>
      <x:c r="I94" s="2"/>
      <x:c r="J94" s="2"/>
      <x:c r="K94" s="2"/>
      <x:c r="L94" s="2"/>
      <x:c r="M94" s="2"/>
      <x:c r="N94" s="2"/>
      <x:c r="O94" s="2"/>
      <x:c r="P94" s="2"/>
      <x:c r="Q94" s="2"/>
      <x:c r="R94" s="2"/>
      <x:c r="S94" s="2"/>
      <x:c r="T94" s="2"/>
      <x:c r="U94" s="2"/>
      <x:c r="V94" s="2"/>
    </x:row>
    <x:row r="95">
      <x:c r="A95" s="2"/>
      <x:c r="B95" s="2"/>
      <x:c r="C95" s="2"/>
      <x:c r="D95" s="2"/>
      <x:c r="E95" s="2"/>
      <x:c r="F95" s="2"/>
      <x:c r="G95" s="2"/>
      <x:c r="H95" s="2"/>
      <x:c r="I95" s="2"/>
      <x:c r="J95" s="2"/>
      <x:c r="K95" s="2"/>
      <x:c r="L95" s="2"/>
      <x:c r="M95" s="2"/>
      <x:c r="N95" s="2"/>
      <x:c r="O95" s="2"/>
      <x:c r="P95" s="2"/>
      <x:c r="Q95" s="2"/>
      <x:c r="R95" s="2"/>
      <x:c r="S95" s="2"/>
      <x:c r="T95" s="2"/>
      <x:c r="U95" s="2"/>
      <x:c r="V95" s="2"/>
    </x:row>
    <x:row r="96">
      <x:c r="A96" s="2"/>
      <x:c r="B96" s="2"/>
      <x:c r="C96" s="2"/>
      <x:c r="D96" s="2"/>
      <x:c r="E96" s="2"/>
      <x:c r="F96" s="2"/>
      <x:c r="G96" s="2"/>
      <x:c r="H96" s="2"/>
      <x:c r="I96" s="2"/>
      <x:c r="J96" s="2"/>
      <x:c r="K96" s="2"/>
      <x:c r="L96" s="2"/>
      <x:c r="M96" s="2"/>
      <x:c r="N96" s="2"/>
      <x:c r="O96" s="2"/>
      <x:c r="P96" s="2"/>
      <x:c r="Q96" s="2"/>
      <x:c r="R96" s="2"/>
      <x:c r="S96" s="2"/>
      <x:c r="T96" s="2"/>
      <x:c r="U96" s="2"/>
      <x:c r="V96" s="2"/>
    </x:row>
    <x:row r="97">
      <x:c r="A97" s="2"/>
      <x:c r="B97" s="2"/>
      <x:c r="C97" s="2"/>
      <x:c r="D97" s="2"/>
      <x:c r="E97" s="2"/>
      <x:c r="F97" s="2"/>
      <x:c r="G97" s="2"/>
      <x:c r="H97" s="2"/>
      <x:c r="I97" s="2"/>
      <x:c r="J97" s="2"/>
      <x:c r="K97" s="2"/>
      <x:c r="L97" s="2"/>
      <x:c r="M97" s="2"/>
      <x:c r="N97" s="2"/>
      <x:c r="O97" s="2"/>
      <x:c r="P97" s="2"/>
      <x:c r="Q97" s="2"/>
      <x:c r="R97" s="2"/>
      <x:c r="S97" s="2"/>
      <x:c r="T97" s="2"/>
      <x:c r="U97" s="2"/>
      <x:c r="V97" s="2"/>
    </x:row>
    <x:row r="98">
      <x:c r="A98" s="2"/>
      <x:c r="B98" s="2"/>
      <x:c r="C98" s="2"/>
      <x:c r="D98" s="2"/>
      <x:c r="E98" s="2"/>
      <x:c r="F98" s="2"/>
      <x:c r="G98" s="2"/>
      <x:c r="H98" s="2"/>
      <x:c r="I98" s="2"/>
      <x:c r="J98" s="2"/>
      <x:c r="K98" s="2"/>
      <x:c r="L98" s="2"/>
      <x:c r="M98" s="2"/>
      <x:c r="N98" s="2"/>
      <x:c r="O98" s="2"/>
      <x:c r="P98" s="2"/>
      <x:c r="Q98" s="2"/>
      <x:c r="R98" s="2"/>
      <x:c r="S98" s="2"/>
      <x:c r="T98" s="2"/>
      <x:c r="U98" s="2"/>
      <x:c r="V98" s="2"/>
    </x:row>
    <x:row r="99">
      <x:c r="A99" s="2"/>
      <x:c r="B99" s="2"/>
      <x:c r="C99" s="2"/>
      <x:c r="D99" s="2"/>
      <x:c r="E99" s="2"/>
      <x:c r="F99" s="2"/>
      <x:c r="G99" s="2"/>
      <x:c r="H99" s="2"/>
      <x:c r="I99" s="2"/>
      <x:c r="J99" s="2"/>
      <x:c r="K99" s="2"/>
      <x:c r="L99" s="2"/>
      <x:c r="M99" s="2"/>
      <x:c r="N99" s="2"/>
      <x:c r="O99" s="2"/>
      <x:c r="P99" s="2"/>
      <x:c r="Q99" s="2"/>
      <x:c r="R99" s="2"/>
      <x:c r="S99" s="2"/>
      <x:c r="T99" s="2"/>
      <x:c r="U99" s="2"/>
      <x:c r="V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conditionalFormatting sqref="Q6:Q37">
    <x:cfRule type="containsText" dxfId="4" priority="1" operator="containsText" text="是"/>
  </x:conditionalFormatting>
  <x:conditionalFormatting sqref="R6:R37">
    <x:cfRule type="containsText" dxfId="5" priority="2" operator="containsText" text="待"/>
  </x:conditionalFormatting>
  <x:pageMargins left="0.7" right="0.7" top="0.75" bottom="0.75" header="0.3" footer="0.3"/>
  <x:tableParts count="1">
    <x:tablePart xmlns:r="http://schemas.openxmlformats.org/officeDocument/2006/relationships" r:id="R7149cbb4c5ba45c8"/>
  </x:tableParts>
</x:worksheet>
</file>

<file path=xl/worksheets/sheet7.xml><?xml version="1.0" encoding="utf-8"?>
<x:worksheet xmlns:x="http://schemas.openxmlformats.org/spreadsheetml/2006/main">
  <x:sheetPr>
    <x:tabColor rgb="FF70AD47"/>
  </x:sheetPr>
  <x:sheetViews>
    <x:sheetView showGridLines="0" workbookViewId="0">
      <x:pane xSplit="3" ySplit="5" topLeftCell="D6" activePane="bottomRight" state="frozen"/>
    </x:sheetView>
  </x:sheetViews>
  <x:sheetFormatPr defaultRowHeight="15"/>
  <x:cols>
    <x:col min="1" max="1" width="17" hidden="0" customWidth="1"/>
    <x:col min="2" max="2" width="11" hidden="0" customWidth="1"/>
    <x:col min="3" max="3" width="20" hidden="0" customWidth="1"/>
    <x:col min="4" max="4" width="15" hidden="0" customWidth="1"/>
    <x:col min="5" max="5" width="15" hidden="0" customWidth="1"/>
    <x:col min="6" max="6" width="12" hidden="0" customWidth="1"/>
    <x:col min="7" max="7" width="26" hidden="0" customWidth="1"/>
    <x:col min="8" max="8" width="44"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路网节点</x:v>
      </x:c>
      <x:c r="B2" s="2"/>
      <x:c r="C2" s="2"/>
      <x:c r="D2" s="2"/>
      <x:c r="E2" s="2"/>
      <x:c r="F2" s="2"/>
      <x:c r="G2" s="2"/>
      <x:c r="H2" s="2"/>
      <x:c r="I2" s="2"/>
      <x:c r="J2" s="2"/>
      <x:c r="K2" s="2"/>
      <x:c r="L2" s="2"/>
      <x:c r="M2" s="2"/>
      <x:c r="N2" s="2"/>
      <x:c r="O2" s="2"/>
      <x:c r="P2" s="2"/>
      <x:c r="Q2" s="2"/>
      <x:c r="R2" s="2"/>
      <x:c r="S2" s="2"/>
      <x:c r="T2" s="2"/>
      <x:c r="U2" s="2"/>
      <x:c r="V2" s="2"/>
    </x:row>
    <x:row r="3">
      <x:c r="A3" s="5" t="str">
        <x:v>C04亦城茗苑和C05听涛雅苑的情景节点用于补足公开地图缺口。</x:v>
      </x:c>
      <x:c r="B3" s="4"/>
      <x:c r="C3" s="4"/>
      <x:c r="D3" s="4"/>
      <x:c r="E3" s="4"/>
      <x:c r="F3" s="4"/>
      <x:c r="G3" s="4"/>
      <x:c r="H3" s="4"/>
      <x:c r="I3" s="2"/>
      <x:c r="J3" s="2"/>
      <x:c r="K3" s="2"/>
      <x:c r="L3" s="2"/>
      <x:c r="M3" s="2"/>
      <x:c r="N3" s="2"/>
      <x:c r="O3" s="2"/>
      <x:c r="P3" s="2"/>
      <x:c r="Q3" s="2"/>
      <x:c r="R3" s="2"/>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x:c r="A5" s="14" t="str">
        <x:v>路网节点ID</x:v>
      </x:c>
      <x:c r="B5" s="15" t="str">
        <x:v>社区ID</x:v>
      </x:c>
      <x:c r="C5" s="15" t="str">
        <x:v>节点类型</x:v>
      </x:c>
      <x:c r="D5" s="15" t="str">
        <x:v>经度WGS84</x:v>
      </x:c>
      <x:c r="E5" s="15" t="str">
        <x:v>纬度WGS84</x:v>
      </x:c>
      <x:c r="F5" s="15" t="str">
        <x:v>是否启用</x:v>
      </x:c>
      <x:c r="G5" s="15" t="str">
        <x:v>数据状态</x:v>
      </x:c>
      <x:c r="H5" s="16" t="str">
        <x:v>备注</x:v>
      </x:c>
      <x:c r="I5" s="2"/>
      <x:c r="J5" s="2"/>
      <x:c r="K5" s="2"/>
      <x:c r="L5" s="2"/>
      <x:c r="M5" s="2"/>
      <x:c r="N5" s="2"/>
      <x:c r="O5" s="2"/>
      <x:c r="P5" s="2"/>
      <x:c r="Q5" s="2"/>
      <x:c r="R5" s="2"/>
      <x:c r="S5" s="2"/>
      <x:c r="T5" s="2"/>
      <x:c r="U5" s="2"/>
      <x:c r="V5" s="2"/>
    </x:row>
    <x:row r="6" ht="28" customHeight="1">
      <x:c r="A6" s="38" t="str">
        <x:v>C01-R001</x:v>
      </x:c>
      <x:c r="B6" s="38" t="str">
        <x:v>C01</x:v>
      </x:c>
      <x:c r="C6" s="38" t="str">
        <x:v>转弯点</x:v>
      </x:c>
      <x:c r="D6" s="48" t="n">
        <x:v>116.489285</x:v>
      </x:c>
      <x:c r="E6" s="48" t="n">
        <x:v>39.802752</x:v>
      </x:c>
      <x:c r="F6" s="38" t="str">
        <x:v>是</x:v>
      </x:c>
      <x:c r="G6" s="38" t="str">
        <x:v>OSM</x:v>
      </x:c>
      <x:c r="H6" s="38" t="str">
        <x:v>路段转弯点</x:v>
      </x:c>
      <x:c r="I6" s="2"/>
      <x:c r="J6" s="2"/>
      <x:c r="K6" s="2"/>
      <x:c r="L6" s="2"/>
      <x:c r="M6" s="2"/>
      <x:c r="N6" s="2"/>
      <x:c r="O6" s="2"/>
      <x:c r="P6" s="2"/>
      <x:c r="Q6" s="2"/>
      <x:c r="R6" s="2"/>
      <x:c r="S6" s="2"/>
      <x:c r="T6" s="2"/>
      <x:c r="U6" s="2"/>
      <x:c r="V6" s="2"/>
    </x:row>
    <x:row r="7" ht="28" customHeight="1">
      <x:c r="A7" s="38" t="str">
        <x:v>C01-R002</x:v>
      </x:c>
      <x:c r="B7" s="38" t="str">
        <x:v>C01</x:v>
      </x:c>
      <x:c r="C7" s="38" t="str">
        <x:v>转弯点</x:v>
      </x:c>
      <x:c r="D7" s="48" t="n">
        <x:v>116.489357</x:v>
      </x:c>
      <x:c r="E7" s="48" t="n">
        <x:v>39.802663</x:v>
      </x:c>
      <x:c r="F7" s="38" t="str">
        <x:v>是</x:v>
      </x:c>
      <x:c r="G7" s="38" t="str">
        <x:v>OSM</x:v>
      </x:c>
      <x:c r="H7" s="38" t="str">
        <x:v>路段转弯点</x:v>
      </x:c>
      <x:c r="I7" s="2"/>
      <x:c r="J7" s="2"/>
      <x:c r="K7" s="2"/>
      <x:c r="L7" s="2"/>
      <x:c r="M7" s="2"/>
      <x:c r="N7" s="2"/>
      <x:c r="O7" s="2"/>
      <x:c r="P7" s="2"/>
      <x:c r="Q7" s="2"/>
      <x:c r="R7" s="2"/>
      <x:c r="S7" s="2"/>
      <x:c r="T7" s="2"/>
      <x:c r="U7" s="2"/>
      <x:c r="V7" s="2"/>
    </x:row>
    <x:row r="8" ht="28" customHeight="1">
      <x:c r="A8" s="38" t="str">
        <x:v>C01-R003</x:v>
      </x:c>
      <x:c r="B8" s="38" t="str">
        <x:v>C01</x:v>
      </x:c>
      <x:c r="C8" s="38" t="str">
        <x:v>转弯点</x:v>
      </x:c>
      <x:c r="D8" s="48" t="n">
        <x:v>116.483467</x:v>
      </x:c>
      <x:c r="E8" s="48" t="n">
        <x:v>39.802085</x:v>
      </x:c>
      <x:c r="F8" s="38" t="str">
        <x:v>是</x:v>
      </x:c>
      <x:c r="G8" s="38" t="str">
        <x:v>OSM</x:v>
      </x:c>
      <x:c r="H8" s="38" t="str">
        <x:v>路段转弯点</x:v>
      </x:c>
      <x:c r="I8" s="2"/>
      <x:c r="J8" s="2"/>
      <x:c r="K8" s="2"/>
      <x:c r="L8" s="2"/>
      <x:c r="M8" s="2"/>
      <x:c r="N8" s="2"/>
      <x:c r="O8" s="2"/>
      <x:c r="P8" s="2"/>
      <x:c r="Q8" s="2"/>
      <x:c r="R8" s="2"/>
      <x:c r="S8" s="2"/>
      <x:c r="T8" s="2"/>
      <x:c r="U8" s="2"/>
      <x:c r="V8" s="2"/>
    </x:row>
    <x:row r="9" ht="28" customHeight="1">
      <x:c r="A9" s="38" t="str">
        <x:v>C01-R004</x:v>
      </x:c>
      <x:c r="B9" s="38" t="str">
        <x:v>C01</x:v>
      </x:c>
      <x:c r="C9" s="38" t="str">
        <x:v>转弯点</x:v>
      </x:c>
      <x:c r="D9" s="48" t="n">
        <x:v>116.483724</x:v>
      </x:c>
      <x:c r="E9" s="48" t="n">
        <x:v>39.801951</x:v>
      </x:c>
      <x:c r="F9" s="38" t="str">
        <x:v>是</x:v>
      </x:c>
      <x:c r="G9" s="38" t="str">
        <x:v>OSM</x:v>
      </x:c>
      <x:c r="H9" s="38" t="str">
        <x:v>路段转弯点</x:v>
      </x:c>
      <x:c r="I9" s="2"/>
      <x:c r="J9" s="2"/>
      <x:c r="K9" s="2"/>
      <x:c r="L9" s="2"/>
      <x:c r="M9" s="2"/>
      <x:c r="N9" s="2"/>
      <x:c r="O9" s="2"/>
      <x:c r="P9" s="2"/>
      <x:c r="Q9" s="2"/>
      <x:c r="R9" s="2"/>
      <x:c r="S9" s="2"/>
      <x:c r="T9" s="2"/>
      <x:c r="U9" s="2"/>
      <x:c r="V9" s="2"/>
    </x:row>
    <x:row r="10" ht="28" customHeight="1">
      <x:c r="A10" s="38" t="str">
        <x:v>C01-R005</x:v>
      </x:c>
      <x:c r="B10" s="38" t="str">
        <x:v>C01</x:v>
      </x:c>
      <x:c r="C10" s="38" t="str">
        <x:v>转弯点</x:v>
      </x:c>
      <x:c r="D10" s="48" t="n">
        <x:v>116.486736</x:v>
      </x:c>
      <x:c r="E10" s="48" t="n">
        <x:v>39.80187</x:v>
      </x:c>
      <x:c r="F10" s="38" t="str">
        <x:v>是</x:v>
      </x:c>
      <x:c r="G10" s="38" t="str">
        <x:v>OSM</x:v>
      </x:c>
      <x:c r="H10" s="38" t="str">
        <x:v>路段转弯点</x:v>
      </x:c>
      <x:c r="I10" s="2"/>
      <x:c r="J10" s="2"/>
      <x:c r="K10" s="2"/>
      <x:c r="L10" s="2"/>
      <x:c r="M10" s="2"/>
      <x:c r="N10" s="2"/>
      <x:c r="O10" s="2"/>
      <x:c r="P10" s="2"/>
      <x:c r="Q10" s="2"/>
      <x:c r="R10" s="2"/>
      <x:c r="S10" s="2"/>
      <x:c r="T10" s="2"/>
      <x:c r="U10" s="2"/>
      <x:c r="V10" s="2"/>
    </x:row>
    <x:row r="11" ht="28" customHeight="1">
      <x:c r="A11" s="38" t="str">
        <x:v>C01-R006</x:v>
      </x:c>
      <x:c r="B11" s="38" t="str">
        <x:v>C01</x:v>
      </x:c>
      <x:c r="C11" s="38" t="str">
        <x:v>转弯点</x:v>
      </x:c>
      <x:c r="D11" s="48" t="n">
        <x:v>116.484392</x:v>
      </x:c>
      <x:c r="E11" s="48" t="n">
        <x:v>39.801524</x:v>
      </x:c>
      <x:c r="F11" s="38" t="str">
        <x:v>是</x:v>
      </x:c>
      <x:c r="G11" s="38" t="str">
        <x:v>OSM</x:v>
      </x:c>
      <x:c r="H11" s="38" t="str">
        <x:v>路段转弯点</x:v>
      </x:c>
      <x:c r="I11" s="2"/>
      <x:c r="J11" s="2"/>
      <x:c r="K11" s="2"/>
      <x:c r="L11" s="2"/>
      <x:c r="M11" s="2"/>
      <x:c r="N11" s="2"/>
      <x:c r="O11" s="2"/>
      <x:c r="P11" s="2"/>
      <x:c r="Q11" s="2"/>
      <x:c r="R11" s="2"/>
      <x:c r="S11" s="2"/>
      <x:c r="T11" s="2"/>
      <x:c r="U11" s="2"/>
      <x:c r="V11" s="2"/>
    </x:row>
    <x:row r="12" ht="28" customHeight="1">
      <x:c r="A12" s="38" t="str">
        <x:v>C01-R007</x:v>
      </x:c>
      <x:c r="B12" s="38" t="str">
        <x:v>C01</x:v>
      </x:c>
      <x:c r="C12" s="38" t="str">
        <x:v>转弯点</x:v>
      </x:c>
      <x:c r="D12" s="48" t="n">
        <x:v>116.488599</x:v>
      </x:c>
      <x:c r="E12" s="48" t="n">
        <x:v>39.801448</x:v>
      </x:c>
      <x:c r="F12" s="38" t="str">
        <x:v>是</x:v>
      </x:c>
      <x:c r="G12" s="38" t="str">
        <x:v>OSM</x:v>
      </x:c>
      <x:c r="H12" s="38" t="str">
        <x:v>路段转弯点</x:v>
      </x:c>
      <x:c r="I12" s="2"/>
      <x:c r="J12" s="2"/>
      <x:c r="K12" s="2"/>
      <x:c r="L12" s="2"/>
      <x:c r="M12" s="2"/>
      <x:c r="N12" s="2"/>
      <x:c r="O12" s="2"/>
      <x:c r="P12" s="2"/>
      <x:c r="Q12" s="2"/>
      <x:c r="R12" s="2"/>
      <x:c r="S12" s="2"/>
      <x:c r="T12" s="2"/>
      <x:c r="U12" s="2"/>
      <x:c r="V12" s="2"/>
    </x:row>
    <x:row r="13" ht="28" customHeight="1">
      <x:c r="A13" s="38" t="str">
        <x:v>C01-R008</x:v>
      </x:c>
      <x:c r="B13" s="38" t="str">
        <x:v>C01</x:v>
      </x:c>
      <x:c r="C13" s="38" t="str">
        <x:v>交叉口</x:v>
      </x:c>
      <x:c r="D13" s="48" t="n">
        <x:v>116.484142</x:v>
      </x:c>
      <x:c r="E13" s="48" t="n">
        <x:v>39.801423</x:v>
      </x:c>
      <x:c r="F13" s="38" t="str">
        <x:v>是</x:v>
      </x:c>
      <x:c r="G13" s="38" t="str">
        <x:v>OSM</x:v>
      </x:c>
      <x:c r="H13" s="38" t="str">
        <x:v>多路段交汇</x:v>
      </x:c>
      <x:c r="I13" s="2"/>
      <x:c r="J13" s="2"/>
      <x:c r="K13" s="2"/>
      <x:c r="L13" s="2"/>
      <x:c r="M13" s="2"/>
      <x:c r="N13" s="2"/>
      <x:c r="O13" s="2"/>
      <x:c r="P13" s="2"/>
      <x:c r="Q13" s="2"/>
      <x:c r="R13" s="2"/>
      <x:c r="S13" s="2"/>
      <x:c r="T13" s="2"/>
      <x:c r="U13" s="2"/>
      <x:c r="V13" s="2"/>
    </x:row>
    <x:row r="14" ht="28" customHeight="1">
      <x:c r="A14" s="38" t="str">
        <x:v>C01-R009</x:v>
      </x:c>
      <x:c r="B14" s="38" t="str">
        <x:v>C01</x:v>
      </x:c>
      <x:c r="C14" s="38" t="str">
        <x:v>交叉口</x:v>
      </x:c>
      <x:c r="D14" s="48" t="n">
        <x:v>116.484045</x:v>
      </x:c>
      <x:c r="E14" s="48" t="n">
        <x:v>39.801378</x:v>
      </x:c>
      <x:c r="F14" s="38" t="str">
        <x:v>是</x:v>
      </x:c>
      <x:c r="G14" s="38" t="str">
        <x:v>OSM</x:v>
      </x:c>
      <x:c r="H14" s="38" t="str">
        <x:v>多路段交汇</x:v>
      </x:c>
      <x:c r="I14" s="2"/>
      <x:c r="J14" s="2"/>
      <x:c r="K14" s="2"/>
      <x:c r="L14" s="2"/>
      <x:c r="M14" s="2"/>
      <x:c r="N14" s="2"/>
      <x:c r="O14" s="2"/>
      <x:c r="P14" s="2"/>
      <x:c r="Q14" s="2"/>
      <x:c r="R14" s="2"/>
      <x:c r="S14" s="2"/>
      <x:c r="T14" s="2"/>
      <x:c r="U14" s="2"/>
      <x:c r="V14" s="2"/>
    </x:row>
    <x:row r="15" ht="28" customHeight="1">
      <x:c r="A15" s="38" t="str">
        <x:v>C01-R010</x:v>
      </x:c>
      <x:c r="B15" s="38" t="str">
        <x:v>C01</x:v>
      </x:c>
      <x:c r="C15" s="38" t="str">
        <x:v>转弯点</x:v>
      </x:c>
      <x:c r="D15" s="48" t="n">
        <x:v>116.484491</x:v>
      </x:c>
      <x:c r="E15" s="48" t="n">
        <x:v>39.801361</x:v>
      </x:c>
      <x:c r="F15" s="38" t="str">
        <x:v>是</x:v>
      </x:c>
      <x:c r="G15" s="38" t="str">
        <x:v>OSM</x:v>
      </x:c>
      <x:c r="H15" s="38" t="str">
        <x:v>路段转弯点</x:v>
      </x:c>
      <x:c r="I15" s="2"/>
      <x:c r="J15" s="2"/>
      <x:c r="K15" s="2"/>
      <x:c r="L15" s="2"/>
      <x:c r="M15" s="2"/>
      <x:c r="N15" s="2"/>
      <x:c r="O15" s="2"/>
      <x:c r="P15" s="2"/>
      <x:c r="Q15" s="2"/>
      <x:c r="R15" s="2"/>
      <x:c r="S15" s="2"/>
      <x:c r="T15" s="2"/>
      <x:c r="U15" s="2"/>
      <x:c r="V15" s="2"/>
    </x:row>
    <x:row r="16" ht="28" customHeight="1">
      <x:c r="A16" s="38" t="str">
        <x:v>C01-R011</x:v>
      </x:c>
      <x:c r="B16" s="38" t="str">
        <x:v>C01</x:v>
      </x:c>
      <x:c r="C16" s="38" t="str">
        <x:v>转弯点</x:v>
      </x:c>
      <x:c r="D16" s="48" t="n">
        <x:v>116.484671</x:v>
      </x:c>
      <x:c r="E16" s="48" t="n">
        <x:v>39.801126</x:v>
      </x:c>
      <x:c r="F16" s="38" t="str">
        <x:v>是</x:v>
      </x:c>
      <x:c r="G16" s="38" t="str">
        <x:v>OSM</x:v>
      </x:c>
      <x:c r="H16" s="38" t="str">
        <x:v>路段转弯点</x:v>
      </x:c>
      <x:c r="I16" s="2"/>
      <x:c r="J16" s="2"/>
      <x:c r="K16" s="2"/>
      <x:c r="L16" s="2"/>
      <x:c r="M16" s="2"/>
      <x:c r="N16" s="2"/>
      <x:c r="O16" s="2"/>
      <x:c r="P16" s="2"/>
      <x:c r="Q16" s="2"/>
      <x:c r="R16" s="2"/>
      <x:c r="S16" s="2"/>
      <x:c r="T16" s="2"/>
      <x:c r="U16" s="2"/>
      <x:c r="V16" s="2"/>
    </x:row>
    <x:row r="17" ht="28" customHeight="1">
      <x:c r="A17" s="38" t="str">
        <x:v>C01-R012</x:v>
      </x:c>
      <x:c r="B17" s="38" t="str">
        <x:v>C01</x:v>
      </x:c>
      <x:c r="C17" s="38" t="str">
        <x:v>转弯点</x:v>
      </x:c>
      <x:c r="D17" s="48" t="n">
        <x:v>116.48506</x:v>
      </x:c>
      <x:c r="E17" s="48" t="n">
        <x:v>39.801091</x:v>
      </x:c>
      <x:c r="F17" s="38" t="str">
        <x:v>是</x:v>
      </x:c>
      <x:c r="G17" s="38" t="str">
        <x:v>OSM</x:v>
      </x:c>
      <x:c r="H17" s="38" t="str">
        <x:v>路段转弯点</x:v>
      </x:c>
      <x:c r="I17" s="2"/>
      <x:c r="J17" s="2"/>
      <x:c r="K17" s="2"/>
      <x:c r="L17" s="2"/>
      <x:c r="M17" s="2"/>
      <x:c r="N17" s="2"/>
      <x:c r="O17" s="2"/>
      <x:c r="P17" s="2"/>
      <x:c r="Q17" s="2"/>
      <x:c r="R17" s="2"/>
      <x:c r="S17" s="2"/>
      <x:c r="T17" s="2"/>
      <x:c r="U17" s="2"/>
      <x:c r="V17" s="2"/>
    </x:row>
    <x:row r="18" ht="28" customHeight="1">
      <x:c r="A18" s="38" t="str">
        <x:v>C01-R013</x:v>
      </x:c>
      <x:c r="B18" s="38" t="str">
        <x:v>C01</x:v>
      </x:c>
      <x:c r="C18" s="38" t="str">
        <x:v>转弯点</x:v>
      </x:c>
      <x:c r="D18" s="48" t="n">
        <x:v>116.484808</x:v>
      </x:c>
      <x:c r="E18" s="48" t="n">
        <x:v>39.801052</x:v>
      </x:c>
      <x:c r="F18" s="38" t="str">
        <x:v>是</x:v>
      </x:c>
      <x:c r="G18" s="38" t="str">
        <x:v>OSM</x:v>
      </x:c>
      <x:c r="H18" s="38" t="str">
        <x:v>路段转弯点</x:v>
      </x:c>
      <x:c r="I18" s="2"/>
      <x:c r="J18" s="2"/>
      <x:c r="K18" s="2"/>
      <x:c r="L18" s="2"/>
      <x:c r="M18" s="2"/>
      <x:c r="N18" s="2"/>
      <x:c r="O18" s="2"/>
      <x:c r="P18" s="2"/>
      <x:c r="Q18" s="2"/>
      <x:c r="R18" s="2"/>
      <x:c r="S18" s="2"/>
      <x:c r="T18" s="2"/>
      <x:c r="U18" s="2"/>
      <x:c r="V18" s="2"/>
    </x:row>
    <x:row r="19" ht="28" customHeight="1">
      <x:c r="A19" s="38" t="str">
        <x:v>C01-R014</x:v>
      </x:c>
      <x:c r="B19" s="38" t="str">
        <x:v>C01</x:v>
      </x:c>
      <x:c r="C19" s="38" t="str">
        <x:v>交叉口</x:v>
      </x:c>
      <x:c r="D19" s="48" t="n">
        <x:v>116.484684</x:v>
      </x:c>
      <x:c r="E19" s="48" t="n">
        <x:v>39.800721</x:v>
      </x:c>
      <x:c r="F19" s="38" t="str">
        <x:v>是</x:v>
      </x:c>
      <x:c r="G19" s="38" t="str">
        <x:v>OSM</x:v>
      </x:c>
      <x:c r="H19" s="38" t="str">
        <x:v>多路段交汇</x:v>
      </x:c>
      <x:c r="I19" s="2"/>
      <x:c r="J19" s="2"/>
      <x:c r="K19" s="2"/>
      <x:c r="L19" s="2"/>
      <x:c r="M19" s="2"/>
      <x:c r="N19" s="2"/>
      <x:c r="O19" s="2"/>
      <x:c r="P19" s="2"/>
      <x:c r="Q19" s="2"/>
      <x:c r="R19" s="2"/>
      <x:c r="S19" s="2"/>
      <x:c r="T19" s="2"/>
      <x:c r="U19" s="2"/>
      <x:c r="V19" s="2"/>
    </x:row>
    <x:row r="20" ht="28" customHeight="1">
      <x:c r="A20" s="38" t="str">
        <x:v>C01-R015</x:v>
      </x:c>
      <x:c r="B20" s="38" t="str">
        <x:v>C01</x:v>
      </x:c>
      <x:c r="C20" s="38" t="str">
        <x:v>转弯点</x:v>
      </x:c>
      <x:c r="D20" s="48" t="n">
        <x:v>116.484934</x:v>
      </x:c>
      <x:c r="E20" s="48" t="n">
        <x:v>39.800697</x:v>
      </x:c>
      <x:c r="F20" s="38" t="str">
        <x:v>是</x:v>
      </x:c>
      <x:c r="G20" s="38" t="str">
        <x:v>OSM</x:v>
      </x:c>
      <x:c r="H20" s="38" t="str">
        <x:v>路段转弯点</x:v>
      </x:c>
      <x:c r="I20" s="2"/>
      <x:c r="J20" s="2"/>
      <x:c r="K20" s="2"/>
      <x:c r="L20" s="2"/>
      <x:c r="M20" s="2"/>
      <x:c r="N20" s="2"/>
      <x:c r="O20" s="2"/>
      <x:c r="P20" s="2"/>
      <x:c r="Q20" s="2"/>
      <x:c r="R20" s="2"/>
      <x:c r="S20" s="2"/>
      <x:c r="T20" s="2"/>
      <x:c r="U20" s="2"/>
      <x:c r="V20" s="2"/>
    </x:row>
    <x:row r="21" ht="28" customHeight="1">
      <x:c r="A21" s="38" t="str">
        <x:v>C01-R016</x:v>
      </x:c>
      <x:c r="B21" s="38" t="str">
        <x:v>C01</x:v>
      </x:c>
      <x:c r="C21" s="38" t="str">
        <x:v>交叉口</x:v>
      </x:c>
      <x:c r="D21" s="48" t="n">
        <x:v>116.484577</x:v>
      </x:c>
      <x:c r="E21" s="48" t="n">
        <x:v>39.800683</x:v>
      </x:c>
      <x:c r="F21" s="38" t="str">
        <x:v>是</x:v>
      </x:c>
      <x:c r="G21" s="38" t="str">
        <x:v>OSM</x:v>
      </x:c>
      <x:c r="H21" s="38" t="str">
        <x:v>多路段交汇</x:v>
      </x:c>
      <x:c r="I21" s="2"/>
      <x:c r="J21" s="2"/>
      <x:c r="K21" s="2"/>
      <x:c r="L21" s="2"/>
      <x:c r="M21" s="2"/>
      <x:c r="N21" s="2"/>
      <x:c r="O21" s="2"/>
      <x:c r="P21" s="2"/>
      <x:c r="Q21" s="2"/>
      <x:c r="R21" s="2"/>
      <x:c r="S21" s="2"/>
      <x:c r="T21" s="2"/>
      <x:c r="U21" s="2"/>
      <x:c r="V21" s="2"/>
    </x:row>
    <x:row r="22" ht="28" customHeight="1">
      <x:c r="A22" s="38" t="str">
        <x:v>C01-R017</x:v>
      </x:c>
      <x:c r="B22" s="38" t="str">
        <x:v>C01</x:v>
      </x:c>
      <x:c r="C22" s="38" t="str">
        <x:v>交叉口</x:v>
      </x:c>
      <x:c r="D22" s="48" t="n">
        <x:v>116.484728</x:v>
      </x:c>
      <x:c r="E22" s="48" t="n">
        <x:v>39.80062</x:v>
      </x:c>
      <x:c r="F22" s="38" t="str">
        <x:v>是</x:v>
      </x:c>
      <x:c r="G22" s="38" t="str">
        <x:v>OSM</x:v>
      </x:c>
      <x:c r="H22" s="38" t="str">
        <x:v>多路段交汇</x:v>
      </x:c>
      <x:c r="I22" s="2"/>
      <x:c r="J22" s="2"/>
      <x:c r="K22" s="2"/>
      <x:c r="L22" s="2"/>
      <x:c r="M22" s="2"/>
      <x:c r="N22" s="2"/>
      <x:c r="O22" s="2"/>
      <x:c r="P22" s="2"/>
      <x:c r="Q22" s="2"/>
      <x:c r="R22" s="2"/>
      <x:c r="S22" s="2"/>
      <x:c r="T22" s="2"/>
      <x:c r="U22" s="2"/>
      <x:c r="V22" s="2"/>
    </x:row>
    <x:row r="23" ht="28" customHeight="1">
      <x:c r="A23" s="38" t="str">
        <x:v>C01-R018</x:v>
      </x:c>
      <x:c r="B23" s="38" t="str">
        <x:v>C01</x:v>
      </x:c>
      <x:c r="C23" s="38" t="str">
        <x:v>转弯点</x:v>
      </x:c>
      <x:c r="D23" s="48" t="n">
        <x:v>116.484331</x:v>
      </x:c>
      <x:c r="E23" s="48" t="n">
        <x:v>39.80061</x:v>
      </x:c>
      <x:c r="F23" s="38" t="str">
        <x:v>是</x:v>
      </x:c>
      <x:c r="G23" s="38" t="str">
        <x:v>OSM</x:v>
      </x:c>
      <x:c r="H23" s="38" t="str">
        <x:v>路段转弯点</x:v>
      </x:c>
      <x:c r="I23" s="2"/>
      <x:c r="J23" s="2"/>
      <x:c r="K23" s="2"/>
      <x:c r="L23" s="2"/>
      <x:c r="M23" s="2"/>
      <x:c r="N23" s="2"/>
      <x:c r="O23" s="2"/>
      <x:c r="P23" s="2"/>
      <x:c r="Q23" s="2"/>
      <x:c r="R23" s="2"/>
      <x:c r="S23" s="2"/>
      <x:c r="T23" s="2"/>
      <x:c r="U23" s="2"/>
      <x:c r="V23" s="2"/>
    </x:row>
    <x:row r="24" ht="28" customHeight="1">
      <x:c r="A24" s="38" t="str">
        <x:v>C01-R019</x:v>
      </x:c>
      <x:c r="B24" s="38" t="str">
        <x:v>C01</x:v>
      </x:c>
      <x:c r="C24" s="38" t="str">
        <x:v>转弯点</x:v>
      </x:c>
      <x:c r="D24" s="48" t="n">
        <x:v>116.484595</x:v>
      </x:c>
      <x:c r="E24" s="48" t="n">
        <x:v>39.800583</x:v>
      </x:c>
      <x:c r="F24" s="38" t="str">
        <x:v>是</x:v>
      </x:c>
      <x:c r="G24" s="38" t="str">
        <x:v>OSM</x:v>
      </x:c>
      <x:c r="H24" s="38" t="str">
        <x:v>路段转弯点</x:v>
      </x:c>
      <x:c r="I24" s="2"/>
      <x:c r="J24" s="2"/>
      <x:c r="K24" s="2"/>
      <x:c r="L24" s="2"/>
      <x:c r="M24" s="2"/>
      <x:c r="N24" s="2"/>
      <x:c r="O24" s="2"/>
      <x:c r="P24" s="2"/>
      <x:c r="Q24" s="2"/>
      <x:c r="R24" s="2"/>
      <x:c r="S24" s="2"/>
      <x:c r="T24" s="2"/>
      <x:c r="U24" s="2"/>
      <x:c r="V24" s="2"/>
    </x:row>
    <x:row r="25" ht="28" customHeight="1">
      <x:c r="A25" s="38" t="str">
        <x:v>C01-R020</x:v>
      </x:c>
      <x:c r="B25" s="38" t="str">
        <x:v>C01</x:v>
      </x:c>
      <x:c r="C25" s="38" t="str">
        <x:v>转弯点</x:v>
      </x:c>
      <x:c r="D25" s="48" t="n">
        <x:v>116.484402</x:v>
      </x:c>
      <x:c r="E25" s="48" t="n">
        <x:v>39.800544</x:v>
      </x:c>
      <x:c r="F25" s="38" t="str">
        <x:v>是</x:v>
      </x:c>
      <x:c r="G25" s="38" t="str">
        <x:v>OSM</x:v>
      </x:c>
      <x:c r="H25" s="38" t="str">
        <x:v>路段转弯点</x:v>
      </x:c>
      <x:c r="I25" s="2"/>
      <x:c r="J25" s="2"/>
      <x:c r="K25" s="2"/>
      <x:c r="L25" s="2"/>
      <x:c r="M25" s="2"/>
      <x:c r="N25" s="2"/>
      <x:c r="O25" s="2"/>
      <x:c r="P25" s="2"/>
      <x:c r="Q25" s="2"/>
      <x:c r="R25" s="2"/>
      <x:c r="S25" s="2"/>
      <x:c r="T25" s="2"/>
      <x:c r="U25" s="2"/>
      <x:c r="V25" s="2"/>
    </x:row>
    <x:row r="26" ht="28" customHeight="1">
      <x:c r="A26" s="38" t="str">
        <x:v>C01-R021</x:v>
      </x:c>
      <x:c r="B26" s="38" t="str">
        <x:v>C01</x:v>
      </x:c>
      <x:c r="C26" s="38" t="str">
        <x:v>转弯点</x:v>
      </x:c>
      <x:c r="D26" s="48" t="n">
        <x:v>116.484179</x:v>
      </x:c>
      <x:c r="E26" s="48" t="n">
        <x:v>39.80051</x:v>
      </x:c>
      <x:c r="F26" s="38" t="str">
        <x:v>是</x:v>
      </x:c>
      <x:c r="G26" s="38" t="str">
        <x:v>OSM</x:v>
      </x:c>
      <x:c r="H26" s="38" t="str">
        <x:v>路段转弯点</x:v>
      </x:c>
      <x:c r="I26" s="2"/>
      <x:c r="J26" s="2"/>
      <x:c r="K26" s="2"/>
      <x:c r="L26" s="2"/>
      <x:c r="M26" s="2"/>
      <x:c r="N26" s="2"/>
      <x:c r="O26" s="2"/>
      <x:c r="P26" s="2"/>
      <x:c r="Q26" s="2"/>
      <x:c r="R26" s="2"/>
      <x:c r="S26" s="2"/>
      <x:c r="T26" s="2"/>
      <x:c r="U26" s="2"/>
      <x:c r="V26" s="2"/>
    </x:row>
    <x:row r="27" ht="28" customHeight="1">
      <x:c r="A27" s="38" t="str">
        <x:v>C01-R022</x:v>
      </x:c>
      <x:c r="B27" s="38" t="str">
        <x:v>C01</x:v>
      </x:c>
      <x:c r="C27" s="38" t="str">
        <x:v>转弯点</x:v>
      </x:c>
      <x:c r="D27" s="48" t="n">
        <x:v>116.486635</x:v>
      </x:c>
      <x:c r="E27" s="48" t="n">
        <x:v>39.800488</x:v>
      </x:c>
      <x:c r="F27" s="38" t="str">
        <x:v>是</x:v>
      </x:c>
      <x:c r="G27" s="38" t="str">
        <x:v>OSM</x:v>
      </x:c>
      <x:c r="H27" s="38" t="str">
        <x:v>路段转弯点</x:v>
      </x:c>
      <x:c r="I27" s="2"/>
      <x:c r="J27" s="2"/>
      <x:c r="K27" s="2"/>
      <x:c r="L27" s="2"/>
      <x:c r="M27" s="2"/>
      <x:c r="N27" s="2"/>
      <x:c r="O27" s="2"/>
      <x:c r="P27" s="2"/>
      <x:c r="Q27" s="2"/>
      <x:c r="R27" s="2"/>
      <x:c r="S27" s="2"/>
      <x:c r="T27" s="2"/>
      <x:c r="U27" s="2"/>
      <x:c r="V27" s="2"/>
    </x:row>
    <x:row r="28" ht="28" customHeight="1">
      <x:c r="A28" s="38" t="str">
        <x:v>C01-R023</x:v>
      </x:c>
      <x:c r="B28" s="38" t="str">
        <x:v>C01</x:v>
      </x:c>
      <x:c r="C28" s="38" t="str">
        <x:v>交叉口</x:v>
      </x:c>
      <x:c r="D28" s="48" t="n">
        <x:v>116.483723</x:v>
      </x:c>
      <x:c r="E28" s="48" t="n">
        <x:v>39.800443</x:v>
      </x:c>
      <x:c r="F28" s="38" t="str">
        <x:v>是</x:v>
      </x:c>
      <x:c r="G28" s="38" t="str">
        <x:v>OSM</x:v>
      </x:c>
      <x:c r="H28" s="38" t="str">
        <x:v>多路段交汇</x:v>
      </x:c>
      <x:c r="I28" s="2"/>
      <x:c r="J28" s="2"/>
      <x:c r="K28" s="2"/>
      <x:c r="L28" s="2"/>
      <x:c r="M28" s="2"/>
      <x:c r="N28" s="2"/>
      <x:c r="O28" s="2"/>
      <x:c r="P28" s="2"/>
      <x:c r="Q28" s="2"/>
      <x:c r="R28" s="2"/>
      <x:c r="S28" s="2"/>
      <x:c r="T28" s="2"/>
      <x:c r="U28" s="2"/>
      <x:c r="V28" s="2"/>
    </x:row>
    <x:row r="29" ht="28" customHeight="1">
      <x:c r="A29" s="38" t="str">
        <x:v>C01-R024</x:v>
      </x:c>
      <x:c r="B29" s="38" t="str">
        <x:v>C01</x:v>
      </x:c>
      <x:c r="C29" s="38" t="str">
        <x:v>转弯点</x:v>
      </x:c>
      <x:c r="D29" s="48" t="n">
        <x:v>116.482776</x:v>
      </x:c>
      <x:c r="E29" s="48" t="n">
        <x:v>39.800306</x:v>
      </x:c>
      <x:c r="F29" s="38" t="str">
        <x:v>是</x:v>
      </x:c>
      <x:c r="G29" s="38" t="str">
        <x:v>OSM</x:v>
      </x:c>
      <x:c r="H29" s="38" t="str">
        <x:v>路段转弯点</x:v>
      </x:c>
      <x:c r="I29" s="2"/>
      <x:c r="J29" s="2"/>
      <x:c r="K29" s="2"/>
      <x:c r="L29" s="2"/>
      <x:c r="M29" s="2"/>
      <x:c r="N29" s="2"/>
      <x:c r="O29" s="2"/>
      <x:c r="P29" s="2"/>
      <x:c r="Q29" s="2"/>
      <x:c r="R29" s="2"/>
      <x:c r="S29" s="2"/>
      <x:c r="T29" s="2"/>
      <x:c r="U29" s="2"/>
      <x:c r="V29" s="2"/>
    </x:row>
    <x:row r="30" ht="28" customHeight="1">
      <x:c r="A30" s="38" t="str">
        <x:v>C01-R025</x:v>
      </x:c>
      <x:c r="B30" s="38" t="str">
        <x:v>C01</x:v>
      </x:c>
      <x:c r="C30" s="38" t="str">
        <x:v>转弯点</x:v>
      </x:c>
      <x:c r="D30" s="48" t="n">
        <x:v>116.481462</x:v>
      </x:c>
      <x:c r="E30" s="48" t="n">
        <x:v>39.800197</x:v>
      </x:c>
      <x:c r="F30" s="38" t="str">
        <x:v>是</x:v>
      </x:c>
      <x:c r="G30" s="38" t="str">
        <x:v>OSM</x:v>
      </x:c>
      <x:c r="H30" s="38" t="str">
        <x:v>路段转弯点</x:v>
      </x:c>
      <x:c r="I30" s="2"/>
      <x:c r="J30" s="2"/>
      <x:c r="K30" s="2"/>
      <x:c r="L30" s="2"/>
      <x:c r="M30" s="2"/>
      <x:c r="N30" s="2"/>
      <x:c r="O30" s="2"/>
      <x:c r="P30" s="2"/>
      <x:c r="Q30" s="2"/>
      <x:c r="R30" s="2"/>
      <x:c r="S30" s="2"/>
      <x:c r="T30" s="2"/>
      <x:c r="U30" s="2"/>
      <x:c r="V30" s="2"/>
    </x:row>
    <x:row r="31" ht="28" customHeight="1">
      <x:c r="A31" s="38" t="str">
        <x:v>C01-R026</x:v>
      </x:c>
      <x:c r="B31" s="38" t="str">
        <x:v>C01</x:v>
      </x:c>
      <x:c r="C31" s="38" t="str">
        <x:v>转弯点</x:v>
      </x:c>
      <x:c r="D31" s="48" t="n">
        <x:v>116.48149</x:v>
      </x:c>
      <x:c r="E31" s="48" t="n">
        <x:v>39.800118</x:v>
      </x:c>
      <x:c r="F31" s="38" t="str">
        <x:v>是</x:v>
      </x:c>
      <x:c r="G31" s="38" t="str">
        <x:v>OSM</x:v>
      </x:c>
      <x:c r="H31" s="38" t="str">
        <x:v>路段转弯点</x:v>
      </x:c>
      <x:c r="I31" s="2"/>
      <x:c r="J31" s="2"/>
      <x:c r="K31" s="2"/>
      <x:c r="L31" s="2"/>
      <x:c r="M31" s="2"/>
      <x:c r="N31" s="2"/>
      <x:c r="O31" s="2"/>
      <x:c r="P31" s="2"/>
      <x:c r="Q31" s="2"/>
      <x:c r="R31" s="2"/>
      <x:c r="S31" s="2"/>
      <x:c r="T31" s="2"/>
      <x:c r="U31" s="2"/>
      <x:c r="V31" s="2"/>
    </x:row>
    <x:row r="32" ht="28" customHeight="1">
      <x:c r="A32" s="38" t="str">
        <x:v>C01-R027</x:v>
      </x:c>
      <x:c r="B32" s="38" t="str">
        <x:v>C01</x:v>
      </x:c>
      <x:c r="C32" s="38" t="str">
        <x:v>出入口</x:v>
      </x:c>
      <x:c r="D32" s="48" t="n">
        <x:v>116.485214</x:v>
      </x:c>
      <x:c r="E32" s="48" t="n">
        <x:v>39.800019</x:v>
      </x:c>
      <x:c r="F32" s="38" t="str">
        <x:v>是</x:v>
      </x:c>
      <x:c r="G32" s="38" t="str">
        <x:v>OSM 节点 + 出入口位置推定</x:v>
      </x:c>
      <x:c r="H32" s="38" t="str">
        <x:v>小区出入口（与市政道路衔接点）</x:v>
      </x:c>
      <x:c r="I32" s="2"/>
      <x:c r="J32" s="2"/>
      <x:c r="K32" s="2"/>
      <x:c r="L32" s="2"/>
      <x:c r="M32" s="2"/>
      <x:c r="N32" s="2"/>
      <x:c r="O32" s="2"/>
      <x:c r="P32" s="2"/>
      <x:c r="Q32" s="2"/>
      <x:c r="R32" s="2"/>
      <x:c r="S32" s="2"/>
      <x:c r="T32" s="2"/>
      <x:c r="U32" s="2"/>
      <x:c r="V32" s="2"/>
    </x:row>
    <x:row r="33" ht="28" customHeight="1">
      <x:c r="A33" s="38" t="str">
        <x:v>C01-R028</x:v>
      </x:c>
      <x:c r="B33" s="38" t="str">
        <x:v>C01</x:v>
      </x:c>
      <x:c r="C33" s="38" t="str">
        <x:v>转弯点</x:v>
      </x:c>
      <x:c r="D33" s="48" t="n">
        <x:v>116.485529</x:v>
      </x:c>
      <x:c r="E33" s="48" t="n">
        <x:v>39.79963</x:v>
      </x:c>
      <x:c r="F33" s="38" t="str">
        <x:v>是</x:v>
      </x:c>
      <x:c r="G33" s="38" t="str">
        <x:v>OSM</x:v>
      </x:c>
      <x:c r="H33" s="38" t="str">
        <x:v>路段转弯点</x:v>
      </x:c>
      <x:c r="I33" s="2"/>
      <x:c r="J33" s="2"/>
      <x:c r="K33" s="2"/>
      <x:c r="L33" s="2"/>
      <x:c r="M33" s="2"/>
      <x:c r="N33" s="2"/>
      <x:c r="O33" s="2"/>
      <x:c r="P33" s="2"/>
      <x:c r="Q33" s="2"/>
      <x:c r="R33" s="2"/>
      <x:c r="S33" s="2"/>
      <x:c r="T33" s="2"/>
      <x:c r="U33" s="2"/>
      <x:c r="V33" s="2"/>
    </x:row>
    <x:row r="34" ht="28" customHeight="1">
      <x:c r="A34" s="38" t="str">
        <x:v>C01-R029</x:v>
      </x:c>
      <x:c r="B34" s="38" t="str">
        <x:v>C01</x:v>
      </x:c>
      <x:c r="C34" s="38" t="str">
        <x:v>转弯点</x:v>
      </x:c>
      <x:c r="D34" s="48" t="n">
        <x:v>116.48393</x:v>
      </x:c>
      <x:c r="E34" s="48" t="n">
        <x:v>39.79957</x:v>
      </x:c>
      <x:c r="F34" s="38" t="str">
        <x:v>是</x:v>
      </x:c>
      <x:c r="G34" s="38" t="str">
        <x:v>OSM</x:v>
      </x:c>
      <x:c r="H34" s="38" t="str">
        <x:v>路段转弯点</x:v>
      </x:c>
      <x:c r="I34" s="2"/>
      <x:c r="J34" s="2"/>
      <x:c r="K34" s="2"/>
      <x:c r="L34" s="2"/>
      <x:c r="M34" s="2"/>
      <x:c r="N34" s="2"/>
      <x:c r="O34" s="2"/>
      <x:c r="P34" s="2"/>
      <x:c r="Q34" s="2"/>
      <x:c r="R34" s="2"/>
      <x:c r="S34" s="2"/>
      <x:c r="T34" s="2"/>
      <x:c r="U34" s="2"/>
      <x:c r="V34" s="2"/>
    </x:row>
    <x:row r="35" ht="28" customHeight="1">
      <x:c r="A35" s="38" t="str">
        <x:v>C01-R030</x:v>
      </x:c>
      <x:c r="B35" s="38" t="str">
        <x:v>C01</x:v>
      </x:c>
      <x:c r="C35" s="38" t="str">
        <x:v>转弯点</x:v>
      </x:c>
      <x:c r="D35" s="48" t="n">
        <x:v>116.484033</x:v>
      </x:c>
      <x:c r="E35" s="48" t="n">
        <x:v>39.7995</x:v>
      </x:c>
      <x:c r="F35" s="38" t="str">
        <x:v>是</x:v>
      </x:c>
      <x:c r="G35" s="38" t="str">
        <x:v>OSM</x:v>
      </x:c>
      <x:c r="H35" s="38" t="str">
        <x:v>路段转弯点</x:v>
      </x:c>
      <x:c r="I35" s="2"/>
      <x:c r="J35" s="2"/>
      <x:c r="K35" s="2"/>
      <x:c r="L35" s="2"/>
      <x:c r="M35" s="2"/>
      <x:c r="N35" s="2"/>
      <x:c r="O35" s="2"/>
      <x:c r="P35" s="2"/>
      <x:c r="Q35" s="2"/>
      <x:c r="R35" s="2"/>
      <x:c r="S35" s="2"/>
      <x:c r="T35" s="2"/>
      <x:c r="U35" s="2"/>
      <x:c r="V35" s="2"/>
    </x:row>
    <x:row r="36" ht="28" customHeight="1">
      <x:c r="A36" s="38" t="str">
        <x:v>C01-R031</x:v>
      </x:c>
      <x:c r="B36" s="38" t="str">
        <x:v>C01</x:v>
      </x:c>
      <x:c r="C36" s="38" t="str">
        <x:v>交叉口</x:v>
      </x:c>
      <x:c r="D36" s="48" t="n">
        <x:v>116.484101</x:v>
      </x:c>
      <x:c r="E36" s="48" t="n">
        <x:v>39.799489</x:v>
      </x:c>
      <x:c r="F36" s="38" t="str">
        <x:v>是</x:v>
      </x:c>
      <x:c r="G36" s="38" t="str">
        <x:v>OSM</x:v>
      </x:c>
      <x:c r="H36" s="38" t="str">
        <x:v>多路段交汇</x:v>
      </x:c>
      <x:c r="I36" s="2"/>
      <x:c r="J36" s="2"/>
      <x:c r="K36" s="2"/>
      <x:c r="L36" s="2"/>
      <x:c r="M36" s="2"/>
      <x:c r="N36" s="2"/>
      <x:c r="O36" s="2"/>
      <x:c r="P36" s="2"/>
      <x:c r="Q36" s="2"/>
      <x:c r="R36" s="2"/>
      <x:c r="S36" s="2"/>
      <x:c r="T36" s="2"/>
      <x:c r="U36" s="2"/>
      <x:c r="V36" s="2"/>
    </x:row>
    <x:row r="37" ht="28" customHeight="1">
      <x:c r="A37" s="38" t="str">
        <x:v>C01-R032</x:v>
      </x:c>
      <x:c r="B37" s="38" t="str">
        <x:v>C01</x:v>
      </x:c>
      <x:c r="C37" s="38" t="str">
        <x:v>转弯点</x:v>
      </x:c>
      <x:c r="D37" s="48" t="n">
        <x:v>116.487437</x:v>
      </x:c>
      <x:c r="E37" s="48" t="n">
        <x:v>39.799467</x:v>
      </x:c>
      <x:c r="F37" s="38" t="str">
        <x:v>是</x:v>
      </x:c>
      <x:c r="G37" s="38" t="str">
        <x:v>OSM</x:v>
      </x:c>
      <x:c r="H37" s="38" t="str">
        <x:v>路段转弯点</x:v>
      </x:c>
      <x:c r="I37" s="2"/>
      <x:c r="J37" s="2"/>
      <x:c r="K37" s="2"/>
      <x:c r="L37" s="2"/>
      <x:c r="M37" s="2"/>
      <x:c r="N37" s="2"/>
      <x:c r="O37" s="2"/>
      <x:c r="P37" s="2"/>
      <x:c r="Q37" s="2"/>
      <x:c r="R37" s="2"/>
      <x:c r="S37" s="2"/>
      <x:c r="T37" s="2"/>
      <x:c r="U37" s="2"/>
      <x:c r="V37" s="2"/>
    </x:row>
    <x:row r="38" ht="28" customHeight="1">
      <x:c r="A38" s="38" t="str">
        <x:v>C01-R033</x:v>
      </x:c>
      <x:c r="B38" s="38" t="str">
        <x:v>C01</x:v>
      </x:c>
      <x:c r="C38" s="38" t="str">
        <x:v>转弯点</x:v>
      </x:c>
      <x:c r="D38" s="48" t="n">
        <x:v>116.487508</x:v>
      </x:c>
      <x:c r="E38" s="48" t="n">
        <x:v>39.799405</x:v>
      </x:c>
      <x:c r="F38" s="38" t="str">
        <x:v>是</x:v>
      </x:c>
      <x:c r="G38" s="38" t="str">
        <x:v>OSM</x:v>
      </x:c>
      <x:c r="H38" s="38" t="str">
        <x:v>路段转弯点</x:v>
      </x:c>
      <x:c r="I38" s="2"/>
      <x:c r="J38" s="2"/>
      <x:c r="K38" s="2"/>
      <x:c r="L38" s="2"/>
      <x:c r="M38" s="2"/>
      <x:c r="N38" s="2"/>
      <x:c r="O38" s="2"/>
      <x:c r="P38" s="2"/>
      <x:c r="Q38" s="2"/>
      <x:c r="R38" s="2"/>
      <x:c r="S38" s="2"/>
      <x:c r="T38" s="2"/>
      <x:c r="U38" s="2"/>
      <x:c r="V38" s="2"/>
    </x:row>
    <x:row r="39" ht="28" customHeight="1">
      <x:c r="A39" s="38" t="str">
        <x:v>C01-R034</x:v>
      </x:c>
      <x:c r="B39" s="38" t="str">
        <x:v>C01</x:v>
      </x:c>
      <x:c r="C39" s="38" t="str">
        <x:v>转弯点</x:v>
      </x:c>
      <x:c r="D39" s="48" t="n">
        <x:v>116.487596</x:v>
      </x:c>
      <x:c r="E39" s="48" t="n">
        <x:v>39.799377</x:v>
      </x:c>
      <x:c r="F39" s="38" t="str">
        <x:v>是</x:v>
      </x:c>
      <x:c r="G39" s="38" t="str">
        <x:v>OSM</x:v>
      </x:c>
      <x:c r="H39" s="38" t="str">
        <x:v>路段转弯点</x:v>
      </x:c>
      <x:c r="I39" s="2"/>
      <x:c r="J39" s="2"/>
      <x:c r="K39" s="2"/>
      <x:c r="L39" s="2"/>
      <x:c r="M39" s="2"/>
      <x:c r="N39" s="2"/>
      <x:c r="O39" s="2"/>
      <x:c r="P39" s="2"/>
      <x:c r="Q39" s="2"/>
      <x:c r="R39" s="2"/>
      <x:c r="S39" s="2"/>
      <x:c r="T39" s="2"/>
      <x:c r="U39" s="2"/>
      <x:c r="V39" s="2"/>
    </x:row>
    <x:row r="40" ht="28" customHeight="1">
      <x:c r="A40" s="38" t="str">
        <x:v>C01-R035</x:v>
      </x:c>
      <x:c r="B40" s="38" t="str">
        <x:v>C01</x:v>
      </x:c>
      <x:c r="C40" s="38" t="str">
        <x:v>出入口</x:v>
      </x:c>
      <x:c r="D40" s="48" t="n">
        <x:v>116.485811</x:v>
      </x:c>
      <x:c r="E40" s="48" t="n">
        <x:v>39.799269</x:v>
      </x:c>
      <x:c r="F40" s="38" t="str">
        <x:v>是</x:v>
      </x:c>
      <x:c r="G40" s="38" t="str">
        <x:v>OSM 节点 + 出入口位置推定</x:v>
      </x:c>
      <x:c r="H40" s="38" t="str">
        <x:v>小区出入口（与市政道路衔接点）</x:v>
      </x:c>
      <x:c r="I40" s="2"/>
      <x:c r="J40" s="2"/>
      <x:c r="K40" s="2"/>
      <x:c r="L40" s="2"/>
      <x:c r="M40" s="2"/>
      <x:c r="N40" s="2"/>
      <x:c r="O40" s="2"/>
      <x:c r="P40" s="2"/>
      <x:c r="Q40" s="2"/>
      <x:c r="R40" s="2"/>
      <x:c r="S40" s="2"/>
      <x:c r="T40" s="2"/>
      <x:c r="U40" s="2"/>
      <x:c r="V40" s="2"/>
    </x:row>
    <x:row r="41" ht="28" customHeight="1">
      <x:c r="A41" s="38" t="str">
        <x:v>C01-R036</x:v>
      </x:c>
      <x:c r="B41" s="38" t="str">
        <x:v>C01</x:v>
      </x:c>
      <x:c r="C41" s="38" t="str">
        <x:v>转弯点</x:v>
      </x:c>
      <x:c r="D41" s="48" t="n">
        <x:v>116.488923</x:v>
      </x:c>
      <x:c r="E41" s="48" t="n">
        <x:v>39.799155</x:v>
      </x:c>
      <x:c r="F41" s="38" t="str">
        <x:v>是</x:v>
      </x:c>
      <x:c r="G41" s="38" t="str">
        <x:v>OSM</x:v>
      </x:c>
      <x:c r="H41" s="38" t="str">
        <x:v>路段转弯点</x:v>
      </x:c>
      <x:c r="I41" s="2"/>
      <x:c r="J41" s="2"/>
      <x:c r="K41" s="2"/>
      <x:c r="L41" s="2"/>
      <x:c r="M41" s="2"/>
      <x:c r="N41" s="2"/>
      <x:c r="O41" s="2"/>
      <x:c r="P41" s="2"/>
      <x:c r="Q41" s="2"/>
      <x:c r="R41" s="2"/>
      <x:c r="S41" s="2"/>
      <x:c r="T41" s="2"/>
      <x:c r="U41" s="2"/>
      <x:c r="V41" s="2"/>
    </x:row>
    <x:row r="42" ht="28" customHeight="1">
      <x:c r="A42" s="38" t="str">
        <x:v>C01-R037</x:v>
      </x:c>
      <x:c r="B42" s="38" t="str">
        <x:v>C01</x:v>
      </x:c>
      <x:c r="C42" s="38" t="str">
        <x:v>交叉口</x:v>
      </x:c>
      <x:c r="D42" s="48" t="n">
        <x:v>116.486177</x:v>
      </x:c>
      <x:c r="E42" s="48" t="n">
        <x:v>39.79883</x:v>
      </x:c>
      <x:c r="F42" s="38" t="str">
        <x:v>是</x:v>
      </x:c>
      <x:c r="G42" s="38" t="str">
        <x:v>OSM</x:v>
      </x:c>
      <x:c r="H42" s="38" t="str">
        <x:v>多路段交汇</x:v>
      </x:c>
      <x:c r="I42" s="2"/>
      <x:c r="J42" s="2"/>
      <x:c r="K42" s="2"/>
      <x:c r="L42" s="2"/>
      <x:c r="M42" s="2"/>
      <x:c r="N42" s="2"/>
      <x:c r="O42" s="2"/>
      <x:c r="P42" s="2"/>
      <x:c r="Q42" s="2"/>
      <x:c r="R42" s="2"/>
      <x:c r="S42" s="2"/>
      <x:c r="T42" s="2"/>
      <x:c r="U42" s="2"/>
      <x:c r="V42" s="2"/>
    </x:row>
    <x:row r="43" ht="28" customHeight="1">
      <x:c r="A43" s="38" t="str">
        <x:v>C01-R038</x:v>
      </x:c>
      <x:c r="B43" s="38" t="str">
        <x:v>C01</x:v>
      </x:c>
      <x:c r="C43" s="38" t="str">
        <x:v>转弯点</x:v>
      </x:c>
      <x:c r="D43" s="48" t="n">
        <x:v>116.485059</x:v>
      </x:c>
      <x:c r="E43" s="48" t="n">
        <x:v>39.798293</x:v>
      </x:c>
      <x:c r="F43" s="38" t="str">
        <x:v>是</x:v>
      </x:c>
      <x:c r="G43" s="38" t="str">
        <x:v>OSM</x:v>
      </x:c>
      <x:c r="H43" s="38" t="str">
        <x:v>路段转弯点</x:v>
      </x:c>
      <x:c r="I43" s="2"/>
      <x:c r="J43" s="2"/>
      <x:c r="K43" s="2"/>
      <x:c r="L43" s="2"/>
      <x:c r="M43" s="2"/>
      <x:c r="N43" s="2"/>
      <x:c r="O43" s="2"/>
      <x:c r="P43" s="2"/>
      <x:c r="Q43" s="2"/>
      <x:c r="R43" s="2"/>
      <x:c r="S43" s="2"/>
      <x:c r="T43" s="2"/>
      <x:c r="U43" s="2"/>
      <x:c r="V43" s="2"/>
    </x:row>
    <x:row r="44" ht="28" customHeight="1">
      <x:c r="A44" s="38" t="str">
        <x:v>C01-R039</x:v>
      </x:c>
      <x:c r="B44" s="38" t="str">
        <x:v>C01</x:v>
      </x:c>
      <x:c r="C44" s="38" t="str">
        <x:v>转弯点</x:v>
      </x:c>
      <x:c r="D44" s="48" t="n">
        <x:v>116.486158</x:v>
      </x:c>
      <x:c r="E44" s="48" t="n">
        <x:v>39.798044</x:v>
      </x:c>
      <x:c r="F44" s="38" t="str">
        <x:v>是</x:v>
      </x:c>
      <x:c r="G44" s="38" t="str">
        <x:v>OSM</x:v>
      </x:c>
      <x:c r="H44" s="38" t="str">
        <x:v>路段转弯点</x:v>
      </x:c>
      <x:c r="I44" s="2"/>
      <x:c r="J44" s="2"/>
      <x:c r="K44" s="2"/>
      <x:c r="L44" s="2"/>
      <x:c r="M44" s="2"/>
      <x:c r="N44" s="2"/>
      <x:c r="O44" s="2"/>
      <x:c r="P44" s="2"/>
      <x:c r="Q44" s="2"/>
      <x:c r="R44" s="2"/>
      <x:c r="S44" s="2"/>
      <x:c r="T44" s="2"/>
      <x:c r="U44" s="2"/>
      <x:c r="V44" s="2"/>
    </x:row>
    <x:row r="45" ht="28" customHeight="1">
      <x:c r="A45" s="38" t="str">
        <x:v>C01-R040</x:v>
      </x:c>
      <x:c r="B45" s="38" t="str">
        <x:v>C01</x:v>
      </x:c>
      <x:c r="C45" s="38" t="str">
        <x:v>转弯点</x:v>
      </x:c>
      <x:c r="D45" s="48" t="n">
        <x:v>116.486562</x:v>
      </x:c>
      <x:c r="E45" s="48" t="n">
        <x:v>39.797883</x:v>
      </x:c>
      <x:c r="F45" s="38" t="str">
        <x:v>是</x:v>
      </x:c>
      <x:c r="G45" s="38" t="str">
        <x:v>OSM</x:v>
      </x:c>
      <x:c r="H45" s="38" t="str">
        <x:v>路段转弯点</x:v>
      </x:c>
      <x:c r="I45" s="2"/>
      <x:c r="J45" s="2"/>
      <x:c r="K45" s="2"/>
      <x:c r="L45" s="2"/>
      <x:c r="M45" s="2"/>
      <x:c r="N45" s="2"/>
      <x:c r="O45" s="2"/>
      <x:c r="P45" s="2"/>
      <x:c r="Q45" s="2"/>
      <x:c r="R45" s="2"/>
      <x:c r="S45" s="2"/>
      <x:c r="T45" s="2"/>
      <x:c r="U45" s="2"/>
      <x:c r="V45" s="2"/>
    </x:row>
    <x:row r="46" ht="28" customHeight="1">
      <x:c r="A46" s="38" t="str">
        <x:v>C01-R041</x:v>
      </x:c>
      <x:c r="B46" s="38" t="str">
        <x:v>C01</x:v>
      </x:c>
      <x:c r="C46" s="38" t="str">
        <x:v>转弯点</x:v>
      </x:c>
      <x:c r="D46" s="48" t="n">
        <x:v>116.486391</x:v>
      </x:c>
      <x:c r="E46" s="48" t="n">
        <x:v>39.797803</x:v>
      </x:c>
      <x:c r="F46" s="38" t="str">
        <x:v>是</x:v>
      </x:c>
      <x:c r="G46" s="38" t="str">
        <x:v>OSM</x:v>
      </x:c>
      <x:c r="H46" s="38" t="str">
        <x:v>路段转弯点</x:v>
      </x:c>
      <x:c r="I46" s="2"/>
      <x:c r="J46" s="2"/>
      <x:c r="K46" s="2"/>
      <x:c r="L46" s="2"/>
      <x:c r="M46" s="2"/>
      <x:c r="N46" s="2"/>
      <x:c r="O46" s="2"/>
      <x:c r="P46" s="2"/>
      <x:c r="Q46" s="2"/>
      <x:c r="R46" s="2"/>
      <x:c r="S46" s="2"/>
      <x:c r="T46" s="2"/>
      <x:c r="U46" s="2"/>
      <x:c r="V46" s="2"/>
    </x:row>
    <x:row r="47" ht="28" customHeight="1">
      <x:c r="A47" s="38" t="str">
        <x:v>C01-R042</x:v>
      </x:c>
      <x:c r="B47" s="38" t="str">
        <x:v>C01</x:v>
      </x:c>
      <x:c r="C47" s="38" t="str">
        <x:v>转弯点</x:v>
      </x:c>
      <x:c r="D47" s="48" t="n">
        <x:v>116.485329</x:v>
      </x:c>
      <x:c r="E47" s="48" t="n">
        <x:v>39.797681</x:v>
      </x:c>
      <x:c r="F47" s="38" t="str">
        <x:v>是</x:v>
      </x:c>
      <x:c r="G47" s="38" t="str">
        <x:v>OSM</x:v>
      </x:c>
      <x:c r="H47" s="38" t="str">
        <x:v>路段转弯点</x:v>
      </x:c>
      <x:c r="I47" s="2"/>
      <x:c r="J47" s="2"/>
      <x:c r="K47" s="2"/>
      <x:c r="L47" s="2"/>
      <x:c r="M47" s="2"/>
      <x:c r="N47" s="2"/>
      <x:c r="O47" s="2"/>
      <x:c r="P47" s="2"/>
      <x:c r="Q47" s="2"/>
      <x:c r="R47" s="2"/>
      <x:c r="S47" s="2"/>
      <x:c r="T47" s="2"/>
      <x:c r="U47" s="2"/>
      <x:c r="V47" s="2"/>
    </x:row>
    <x:row r="48" ht="28" customHeight="1">
      <x:c r="A48" s="38" t="str">
        <x:v>C01-R043</x:v>
      </x:c>
      <x:c r="B48" s="38" t="str">
        <x:v>C01</x:v>
      </x:c>
      <x:c r="C48" s="38" t="str">
        <x:v>转弯点</x:v>
      </x:c>
      <x:c r="D48" s="48" t="n">
        <x:v>116.485109</x:v>
      </x:c>
      <x:c r="E48" s="48" t="n">
        <x:v>39.797614</x:v>
      </x:c>
      <x:c r="F48" s="38" t="str">
        <x:v>是</x:v>
      </x:c>
      <x:c r="G48" s="38" t="str">
        <x:v>OSM</x:v>
      </x:c>
      <x:c r="H48" s="38" t="str">
        <x:v>路段转弯点</x:v>
      </x:c>
      <x:c r="I48" s="2"/>
      <x:c r="J48" s="2"/>
      <x:c r="K48" s="2"/>
      <x:c r="L48" s="2"/>
      <x:c r="M48" s="2"/>
      <x:c r="N48" s="2"/>
      <x:c r="O48" s="2"/>
      <x:c r="P48" s="2"/>
      <x:c r="Q48" s="2"/>
      <x:c r="R48" s="2"/>
      <x:c r="S48" s="2"/>
      <x:c r="T48" s="2"/>
      <x:c r="U48" s="2"/>
      <x:c r="V48" s="2"/>
    </x:row>
    <x:row r="49" ht="28" customHeight="1">
      <x:c r="A49" s="38" t="str">
        <x:v>C01-R044</x:v>
      </x:c>
      <x:c r="B49" s="38" t="str">
        <x:v>C01</x:v>
      </x:c>
      <x:c r="C49" s="38" t="str">
        <x:v>转弯点</x:v>
      </x:c>
      <x:c r="D49" s="48" t="n">
        <x:v>116.484572</x:v>
      </x:c>
      <x:c r="E49" s="48" t="n">
        <x:v>39.797394</x:v>
      </x:c>
      <x:c r="F49" s="38" t="str">
        <x:v>是</x:v>
      </x:c>
      <x:c r="G49" s="38" t="str">
        <x:v>OSM</x:v>
      </x:c>
      <x:c r="H49" s="38" t="str">
        <x:v>路段转弯点</x:v>
      </x:c>
      <x:c r="I49" s="2"/>
      <x:c r="J49" s="2"/>
      <x:c r="K49" s="2"/>
      <x:c r="L49" s="2"/>
      <x:c r="M49" s="2"/>
      <x:c r="N49" s="2"/>
      <x:c r="O49" s="2"/>
      <x:c r="P49" s="2"/>
      <x:c r="Q49" s="2"/>
      <x:c r="R49" s="2"/>
      <x:c r="S49" s="2"/>
      <x:c r="T49" s="2"/>
      <x:c r="U49" s="2"/>
      <x:c r="V49" s="2"/>
    </x:row>
    <x:row r="50" ht="28" customHeight="1">
      <x:c r="A50" s="38" t="str">
        <x:v>C01-R045</x:v>
      </x:c>
      <x:c r="B50" s="38" t="str">
        <x:v>C01</x:v>
      </x:c>
      <x:c r="C50" s="38" t="str">
        <x:v>转弯点</x:v>
      </x:c>
      <x:c r="D50" s="48" t="n">
        <x:v>116.487482</x:v>
      </x:c>
      <x:c r="E50" s="48" t="n">
        <x:v>39.797189</x:v>
      </x:c>
      <x:c r="F50" s="38" t="str">
        <x:v>是</x:v>
      </x:c>
      <x:c r="G50" s="38" t="str">
        <x:v>OSM</x:v>
      </x:c>
      <x:c r="H50" s="38" t="str">
        <x:v>路段转弯点</x:v>
      </x:c>
      <x:c r="I50" s="2"/>
      <x:c r="J50" s="2"/>
      <x:c r="K50" s="2"/>
      <x:c r="L50" s="2"/>
      <x:c r="M50" s="2"/>
      <x:c r="N50" s="2"/>
      <x:c r="O50" s="2"/>
      <x:c r="P50" s="2"/>
      <x:c r="Q50" s="2"/>
      <x:c r="R50" s="2"/>
      <x:c r="S50" s="2"/>
      <x:c r="T50" s="2"/>
      <x:c r="U50" s="2"/>
      <x:c r="V50" s="2"/>
    </x:row>
    <x:row r="51" ht="28" customHeight="1">
      <x:c r="A51" s="38" t="str">
        <x:v>C01-R046</x:v>
      </x:c>
      <x:c r="B51" s="38" t="str">
        <x:v>C01</x:v>
      </x:c>
      <x:c r="C51" s="38" t="str">
        <x:v>转弯点</x:v>
      </x:c>
      <x:c r="D51" s="48" t="n">
        <x:v>116.483912</x:v>
      </x:c>
      <x:c r="E51" s="48" t="n">
        <x:v>39.797058</x:v>
      </x:c>
      <x:c r="F51" s="38" t="str">
        <x:v>是</x:v>
      </x:c>
      <x:c r="G51" s="38" t="str">
        <x:v>OSM</x:v>
      </x:c>
      <x:c r="H51" s="38" t="str">
        <x:v>路段转弯点</x:v>
      </x:c>
      <x:c r="I51" s="2"/>
      <x:c r="J51" s="2"/>
      <x:c r="K51" s="2"/>
      <x:c r="L51" s="2"/>
      <x:c r="M51" s="2"/>
      <x:c r="N51" s="2"/>
      <x:c r="O51" s="2"/>
      <x:c r="P51" s="2"/>
      <x:c r="Q51" s="2"/>
      <x:c r="R51" s="2"/>
      <x:c r="S51" s="2"/>
      <x:c r="T51" s="2"/>
      <x:c r="U51" s="2"/>
      <x:c r="V51" s="2"/>
    </x:row>
    <x:row r="52" ht="28" customHeight="1">
      <x:c r="A52" s="38" t="str">
        <x:v>C01-R047</x:v>
      </x:c>
      <x:c r="B52" s="38" t="str">
        <x:v>C01</x:v>
      </x:c>
      <x:c r="C52" s="38" t="str">
        <x:v>转弯点</x:v>
      </x:c>
      <x:c r="D52" s="48" t="n">
        <x:v>116.48305</x:v>
      </x:c>
      <x:c r="E52" s="48" t="n">
        <x:v>39.796622</x:v>
      </x:c>
      <x:c r="F52" s="38" t="str">
        <x:v>是</x:v>
      </x:c>
      <x:c r="G52" s="38" t="str">
        <x:v>OSM</x:v>
      </x:c>
      <x:c r="H52" s="38" t="str">
        <x:v>路段转弯点</x:v>
      </x:c>
      <x:c r="I52" s="2"/>
      <x:c r="J52" s="2"/>
      <x:c r="K52" s="2"/>
      <x:c r="L52" s="2"/>
      <x:c r="M52" s="2"/>
      <x:c r="N52" s="2"/>
      <x:c r="O52" s="2"/>
      <x:c r="P52" s="2"/>
      <x:c r="Q52" s="2"/>
      <x:c r="R52" s="2"/>
      <x:c r="S52" s="2"/>
      <x:c r="T52" s="2"/>
      <x:c r="U52" s="2"/>
      <x:c r="V52" s="2"/>
    </x:row>
    <x:row r="53" ht="28" customHeight="1">
      <x:c r="A53" s="38" t="str">
        <x:v>C01-R048</x:v>
      </x:c>
      <x:c r="B53" s="38" t="str">
        <x:v>C01</x:v>
      </x:c>
      <x:c r="C53" s="38" t="str">
        <x:v>楼栋接入点</x:v>
      </x:c>
      <x:c r="D53" s="48" t="n">
        <x:v>116.485218</x:v>
      </x:c>
      <x:c r="E53" s="48" t="n">
        <x:v>39.798659</x:v>
      </x:c>
      <x:c r="F53" s="38" t="str">
        <x:v>是</x:v>
      </x:c>
      <x:c r="G53" s="38" t="str">
        <x:v>推定（按楼栋入口推定）</x:v>
      </x:c>
      <x:c r="H53" s="38" t="str">
        <x:v>楼栋/分区需求点入户接入点，可 15 m 内复用既有路网节点</x:v>
      </x:c>
      <x:c r="I53" s="2"/>
      <x:c r="J53" s="2"/>
      <x:c r="K53" s="2"/>
      <x:c r="L53" s="2"/>
      <x:c r="M53" s="2"/>
      <x:c r="N53" s="2"/>
      <x:c r="O53" s="2"/>
      <x:c r="P53" s="2"/>
      <x:c r="Q53" s="2"/>
      <x:c r="R53" s="2"/>
      <x:c r="S53" s="2"/>
      <x:c r="T53" s="2"/>
      <x:c r="U53" s="2"/>
      <x:c r="V53" s="2"/>
    </x:row>
    <x:row r="54" ht="28" customHeight="1">
      <x:c r="A54" s="38" t="str">
        <x:v>C01-R049</x:v>
      </x:c>
      <x:c r="B54" s="38" t="str">
        <x:v>C01</x:v>
      </x:c>
      <x:c r="C54" s="38" t="str">
        <x:v>楼栋接入点</x:v>
      </x:c>
      <x:c r="D54" s="48" t="n">
        <x:v>116.48471</x:v>
      </x:c>
      <x:c r="E54" s="48" t="n">
        <x:v>39.79926</x:v>
      </x:c>
      <x:c r="F54" s="38" t="str">
        <x:v>是</x:v>
      </x:c>
      <x:c r="G54" s="38" t="str">
        <x:v>推定（按楼栋入口推定）</x:v>
      </x:c>
      <x:c r="H54" s="38" t="str">
        <x:v>楼栋/分区需求点入户接入点，可 15 m 内复用既有路网节点</x:v>
      </x:c>
      <x:c r="I54" s="2"/>
      <x:c r="J54" s="2"/>
      <x:c r="K54" s="2"/>
      <x:c r="L54" s="2"/>
      <x:c r="M54" s="2"/>
      <x:c r="N54" s="2"/>
      <x:c r="O54" s="2"/>
      <x:c r="P54" s="2"/>
      <x:c r="Q54" s="2"/>
      <x:c r="R54" s="2"/>
      <x:c r="S54" s="2"/>
      <x:c r="T54" s="2"/>
      <x:c r="U54" s="2"/>
      <x:c r="V54" s="2"/>
    </x:row>
    <x:row r="55" ht="28" customHeight="1">
      <x:c r="A55" s="38" t="str">
        <x:v>C01-R050</x:v>
      </x:c>
      <x:c r="B55" s="38" t="str">
        <x:v>C01</x:v>
      </x:c>
      <x:c r="C55" s="38" t="str">
        <x:v>楼栋接入点</x:v>
      </x:c>
      <x:c r="D55" s="48" t="n">
        <x:v>116.485163</x:v>
      </x:c>
      <x:c r="E55" s="48" t="n">
        <x:v>39.79902</x:v>
      </x:c>
      <x:c r="F55" s="38" t="str">
        <x:v>是</x:v>
      </x:c>
      <x:c r="G55" s="38" t="str">
        <x:v>推定（按楼栋入口推定）</x:v>
      </x:c>
      <x:c r="H55" s="38" t="str">
        <x:v>楼栋/分区需求点入户接入点，可 15 m 内复用既有路网节点</x:v>
      </x:c>
      <x:c r="I55" s="2"/>
      <x:c r="J55" s="2"/>
      <x:c r="K55" s="2"/>
      <x:c r="L55" s="2"/>
      <x:c r="M55" s="2"/>
      <x:c r="N55" s="2"/>
      <x:c r="O55" s="2"/>
      <x:c r="P55" s="2"/>
      <x:c r="Q55" s="2"/>
      <x:c r="R55" s="2"/>
      <x:c r="S55" s="2"/>
      <x:c r="T55" s="2"/>
      <x:c r="U55" s="2"/>
      <x:c r="V55" s="2"/>
    </x:row>
    <x:row r="56" ht="28" customHeight="1">
      <x:c r="A56" s="38" t="str">
        <x:v>C01-R051</x:v>
      </x:c>
      <x:c r="B56" s="38" t="str">
        <x:v>C01</x:v>
      </x:c>
      <x:c r="C56" s="38" t="str">
        <x:v>楼栋接入点</x:v>
      </x:c>
      <x:c r="D56" s="48" t="n">
        <x:v>116.484695</x:v>
      </x:c>
      <x:c r="E56" s="48" t="n">
        <x:v>39.799608</x:v>
      </x:c>
      <x:c r="F56" s="38" t="str">
        <x:v>是</x:v>
      </x:c>
      <x:c r="G56" s="38" t="str">
        <x:v>推定（按楼栋入口推定）</x:v>
      </x:c>
      <x:c r="H56" s="38" t="str">
        <x:v>楼栋/分区需求点入户接入点，可 15 m 内复用既有路网节点</x:v>
      </x:c>
      <x:c r="I56" s="2"/>
      <x:c r="J56" s="2"/>
      <x:c r="K56" s="2"/>
      <x:c r="L56" s="2"/>
      <x:c r="M56" s="2"/>
      <x:c r="N56" s="2"/>
      <x:c r="O56" s="2"/>
      <x:c r="P56" s="2"/>
      <x:c r="Q56" s="2"/>
      <x:c r="R56" s="2"/>
      <x:c r="S56" s="2"/>
      <x:c r="T56" s="2"/>
      <x:c r="U56" s="2"/>
      <x:c r="V56" s="2"/>
    </x:row>
    <x:row r="57" ht="28" customHeight="1">
      <x:c r="A57" s="38" t="str">
        <x:v>C01-R052</x:v>
      </x:c>
      <x:c r="B57" s="38" t="str">
        <x:v>C01</x:v>
      </x:c>
      <x:c r="C57" s="38" t="str">
        <x:v>楼栋接入点</x:v>
      </x:c>
      <x:c r="D57" s="48" t="n">
        <x:v>116.485346</x:v>
      </x:c>
      <x:c r="E57" s="48" t="n">
        <x:v>39.799412</x:v>
      </x:c>
      <x:c r="F57" s="38" t="str">
        <x:v>是</x:v>
      </x:c>
      <x:c r="G57" s="38" t="str">
        <x:v>推定（按楼栋入口推定）</x:v>
      </x:c>
      <x:c r="H57" s="38" t="str">
        <x:v>楼栋/分区需求点入户接入点，可 15 m 内复用既有路网节点</x:v>
      </x:c>
      <x:c r="I57" s="2"/>
      <x:c r="J57" s="2"/>
      <x:c r="K57" s="2"/>
      <x:c r="L57" s="2"/>
      <x:c r="M57" s="2"/>
      <x:c r="N57" s="2"/>
      <x:c r="O57" s="2"/>
      <x:c r="P57" s="2"/>
      <x:c r="Q57" s="2"/>
      <x:c r="R57" s="2"/>
      <x:c r="S57" s="2"/>
      <x:c r="T57" s="2"/>
      <x:c r="U57" s="2"/>
      <x:c r="V57" s="2"/>
    </x:row>
    <x:row r="58" ht="28" customHeight="1">
      <x:c r="A58" s="38" t="str">
        <x:v>C02-R001</x:v>
      </x:c>
      <x:c r="B58" s="38" t="str">
        <x:v>C02</x:v>
      </x:c>
      <x:c r="C58" s="38" t="str">
        <x:v>转弯点</x:v>
      </x:c>
      <x:c r="D58" s="48" t="n">
        <x:v>116.496075</x:v>
      </x:c>
      <x:c r="E58" s="48" t="n">
        <x:v>39.801209</x:v>
      </x:c>
      <x:c r="F58" s="38" t="str">
        <x:v>是</x:v>
      </x:c>
      <x:c r="G58" s="38" t="str">
        <x:v>OSM</x:v>
      </x:c>
      <x:c r="H58" s="38" t="str">
        <x:v>路段转弯点</x:v>
      </x:c>
      <x:c r="I58" s="2"/>
      <x:c r="J58" s="2"/>
      <x:c r="K58" s="2"/>
      <x:c r="L58" s="2"/>
      <x:c r="M58" s="2"/>
      <x:c r="N58" s="2"/>
      <x:c r="O58" s="2"/>
      <x:c r="P58" s="2"/>
      <x:c r="Q58" s="2"/>
      <x:c r="R58" s="2"/>
      <x:c r="S58" s="2"/>
      <x:c r="T58" s="2"/>
      <x:c r="U58" s="2"/>
      <x:c r="V58" s="2"/>
    </x:row>
    <x:row r="59" ht="28" customHeight="1">
      <x:c r="A59" s="38" t="str">
        <x:v>C02-R002</x:v>
      </x:c>
      <x:c r="B59" s="38" t="str">
        <x:v>C02</x:v>
      </x:c>
      <x:c r="C59" s="38" t="str">
        <x:v>转弯点</x:v>
      </x:c>
      <x:c r="D59" s="48" t="n">
        <x:v>116.495873</x:v>
      </x:c>
      <x:c r="E59" s="48" t="n">
        <x:v>39.801204</x:v>
      </x:c>
      <x:c r="F59" s="38" t="str">
        <x:v>是</x:v>
      </x:c>
      <x:c r="G59" s="38" t="str">
        <x:v>OSM</x:v>
      </x:c>
      <x:c r="H59" s="38" t="str">
        <x:v>路段转弯点</x:v>
      </x:c>
      <x:c r="I59" s="2"/>
      <x:c r="J59" s="2"/>
      <x:c r="K59" s="2"/>
      <x:c r="L59" s="2"/>
      <x:c r="M59" s="2"/>
      <x:c r="N59" s="2"/>
      <x:c r="O59" s="2"/>
      <x:c r="P59" s="2"/>
      <x:c r="Q59" s="2"/>
      <x:c r="R59" s="2"/>
      <x:c r="S59" s="2"/>
      <x:c r="T59" s="2"/>
      <x:c r="U59" s="2"/>
      <x:c r="V59" s="2"/>
    </x:row>
    <x:row r="60" ht="28" customHeight="1">
      <x:c r="A60" s="38" t="str">
        <x:v>C02-R003</x:v>
      </x:c>
      <x:c r="B60" s="38" t="str">
        <x:v>C02</x:v>
      </x:c>
      <x:c r="C60" s="38" t="str">
        <x:v>转弯点</x:v>
      </x:c>
      <x:c r="D60" s="48" t="n">
        <x:v>116.49592</x:v>
      </x:c>
      <x:c r="E60" s="48" t="n">
        <x:v>39.801138</x:v>
      </x:c>
      <x:c r="F60" s="38" t="str">
        <x:v>是</x:v>
      </x:c>
      <x:c r="G60" s="38" t="str">
        <x:v>OSM</x:v>
      </x:c>
      <x:c r="H60" s="38" t="str">
        <x:v>路段转弯点</x:v>
      </x:c>
      <x:c r="I60" s="2"/>
      <x:c r="J60" s="2"/>
      <x:c r="K60" s="2"/>
      <x:c r="L60" s="2"/>
      <x:c r="M60" s="2"/>
      <x:c r="N60" s="2"/>
      <x:c r="O60" s="2"/>
      <x:c r="P60" s="2"/>
      <x:c r="Q60" s="2"/>
      <x:c r="R60" s="2"/>
      <x:c r="S60" s="2"/>
      <x:c r="T60" s="2"/>
      <x:c r="U60" s="2"/>
      <x:c r="V60" s="2"/>
    </x:row>
    <x:row r="61" ht="28" customHeight="1">
      <x:c r="A61" s="38" t="str">
        <x:v>C02-R004</x:v>
      </x:c>
      <x:c r="B61" s="38" t="str">
        <x:v>C02</x:v>
      </x:c>
      <x:c r="C61" s="38" t="str">
        <x:v>交叉口</x:v>
      </x:c>
      <x:c r="D61" s="48" t="n">
        <x:v>116.494633</x:v>
      </x:c>
      <x:c r="E61" s="48" t="n">
        <x:v>39.800545</x:v>
      </x:c>
      <x:c r="F61" s="38" t="str">
        <x:v>是</x:v>
      </x:c>
      <x:c r="G61" s="38" t="str">
        <x:v>OSM</x:v>
      </x:c>
      <x:c r="H61" s="38" t="str">
        <x:v>多路段交汇</x:v>
      </x:c>
      <x:c r="I61" s="2"/>
      <x:c r="J61" s="2"/>
      <x:c r="K61" s="2"/>
      <x:c r="L61" s="2"/>
      <x:c r="M61" s="2"/>
      <x:c r="N61" s="2"/>
      <x:c r="O61" s="2"/>
      <x:c r="P61" s="2"/>
      <x:c r="Q61" s="2"/>
      <x:c r="R61" s="2"/>
      <x:c r="S61" s="2"/>
      <x:c r="T61" s="2"/>
      <x:c r="U61" s="2"/>
      <x:c r="V61" s="2"/>
    </x:row>
    <x:row r="62" ht="28" customHeight="1">
      <x:c r="A62" s="38" t="str">
        <x:v>C02-R005</x:v>
      </x:c>
      <x:c r="B62" s="38" t="str">
        <x:v>C02</x:v>
      </x:c>
      <x:c r="C62" s="38" t="str">
        <x:v>出入口</x:v>
      </x:c>
      <x:c r="D62" s="48" t="n">
        <x:v>116.494042</x:v>
      </x:c>
      <x:c r="E62" s="48" t="n">
        <x:v>39.80026</x:v>
      </x:c>
      <x:c r="F62" s="38" t="str">
        <x:v>是</x:v>
      </x:c>
      <x:c r="G62" s="38" t="str">
        <x:v>OSM 节点 + 出入口位置推定</x:v>
      </x:c>
      <x:c r="H62" s="38" t="str">
        <x:v>小区出入口（与市政道路衔接点）</x:v>
      </x:c>
      <x:c r="I62" s="2"/>
      <x:c r="J62" s="2"/>
      <x:c r="K62" s="2"/>
      <x:c r="L62" s="2"/>
      <x:c r="M62" s="2"/>
      <x:c r="N62" s="2"/>
      <x:c r="O62" s="2"/>
      <x:c r="P62" s="2"/>
      <x:c r="Q62" s="2"/>
      <x:c r="R62" s="2"/>
      <x:c r="S62" s="2"/>
      <x:c r="T62" s="2"/>
      <x:c r="U62" s="2"/>
      <x:c r="V62" s="2"/>
    </x:row>
    <x:row r="63" ht="28" customHeight="1">
      <x:c r="A63" s="38" t="str">
        <x:v>C02-R006</x:v>
      </x:c>
      <x:c r="B63" s="38" t="str">
        <x:v>C02</x:v>
      </x:c>
      <x:c r="C63" s="38" t="str">
        <x:v>转弯点</x:v>
      </x:c>
      <x:c r="D63" s="48" t="n">
        <x:v>116.493813</x:v>
      </x:c>
      <x:c r="E63" s="48" t="n">
        <x:v>39.800239</x:v>
      </x:c>
      <x:c r="F63" s="38" t="str">
        <x:v>是</x:v>
      </x:c>
      <x:c r="G63" s="38" t="str">
        <x:v>OSM</x:v>
      </x:c>
      <x:c r="H63" s="38" t="str">
        <x:v>路段转弯点</x:v>
      </x:c>
      <x:c r="I63" s="2"/>
      <x:c r="J63" s="2"/>
      <x:c r="K63" s="2"/>
      <x:c r="L63" s="2"/>
      <x:c r="M63" s="2"/>
      <x:c r="N63" s="2"/>
      <x:c r="O63" s="2"/>
      <x:c r="P63" s="2"/>
      <x:c r="Q63" s="2"/>
      <x:c r="R63" s="2"/>
      <x:c r="S63" s="2"/>
      <x:c r="T63" s="2"/>
      <x:c r="U63" s="2"/>
      <x:c r="V63" s="2"/>
    </x:row>
    <x:row r="64" ht="28" customHeight="1">
      <x:c r="A64" s="38" t="str">
        <x:v>C02-R007</x:v>
      </x:c>
      <x:c r="B64" s="38" t="str">
        <x:v>C02</x:v>
      </x:c>
      <x:c r="C64" s="38" t="str">
        <x:v>交叉口</x:v>
      </x:c>
      <x:c r="D64" s="48" t="n">
        <x:v>116.493663</x:v>
      </x:c>
      <x:c r="E64" s="48" t="n">
        <x:v>39.800078</x:v>
      </x:c>
      <x:c r="F64" s="38" t="str">
        <x:v>是</x:v>
      </x:c>
      <x:c r="G64" s="38" t="str">
        <x:v>OSM</x:v>
      </x:c>
      <x:c r="H64" s="38" t="str">
        <x:v>多路段交汇</x:v>
      </x:c>
      <x:c r="I64" s="2"/>
      <x:c r="J64" s="2"/>
      <x:c r="K64" s="2"/>
      <x:c r="L64" s="2"/>
      <x:c r="M64" s="2"/>
      <x:c r="N64" s="2"/>
      <x:c r="O64" s="2"/>
      <x:c r="P64" s="2"/>
      <x:c r="Q64" s="2"/>
      <x:c r="R64" s="2"/>
      <x:c r="S64" s="2"/>
      <x:c r="T64" s="2"/>
      <x:c r="U64" s="2"/>
      <x:c r="V64" s="2"/>
    </x:row>
    <x:row r="65" ht="28" customHeight="1">
      <x:c r="A65" s="38" t="str">
        <x:v>C02-R008</x:v>
      </x:c>
      <x:c r="B65" s="38" t="str">
        <x:v>C02</x:v>
      </x:c>
      <x:c r="C65" s="38" t="str">
        <x:v>转弯点</x:v>
      </x:c>
      <x:c r="D65" s="48" t="n">
        <x:v>116.493755</x:v>
      </x:c>
      <x:c r="E65" s="48" t="n">
        <x:v>39.799959</x:v>
      </x:c>
      <x:c r="F65" s="38" t="str">
        <x:v>是</x:v>
      </x:c>
      <x:c r="G65" s="38" t="str">
        <x:v>OSM</x:v>
      </x:c>
      <x:c r="H65" s="38" t="str">
        <x:v>路段转弯点</x:v>
      </x:c>
      <x:c r="I65" s="2"/>
      <x:c r="J65" s="2"/>
      <x:c r="K65" s="2"/>
      <x:c r="L65" s="2"/>
      <x:c r="M65" s="2"/>
      <x:c r="N65" s="2"/>
      <x:c r="O65" s="2"/>
      <x:c r="P65" s="2"/>
      <x:c r="Q65" s="2"/>
      <x:c r="R65" s="2"/>
      <x:c r="S65" s="2"/>
      <x:c r="T65" s="2"/>
      <x:c r="U65" s="2"/>
      <x:c r="V65" s="2"/>
    </x:row>
    <x:row r="66" ht="28" customHeight="1">
      <x:c r="A66" s="38" t="str">
        <x:v>C02-R009</x:v>
      </x:c>
      <x:c r="B66" s="38" t="str">
        <x:v>C02</x:v>
      </x:c>
      <x:c r="C66" s="38" t="str">
        <x:v>转弯点</x:v>
      </x:c>
      <x:c r="D66" s="48" t="n">
        <x:v>116.493183</x:v>
      </x:c>
      <x:c r="E66" s="48" t="n">
        <x:v>39.799936</x:v>
      </x:c>
      <x:c r="F66" s="38" t="str">
        <x:v>是</x:v>
      </x:c>
      <x:c r="G66" s="38" t="str">
        <x:v>OSM</x:v>
      </x:c>
      <x:c r="H66" s="38" t="str">
        <x:v>路段转弯点</x:v>
      </x:c>
      <x:c r="I66" s="2"/>
      <x:c r="J66" s="2"/>
      <x:c r="K66" s="2"/>
      <x:c r="L66" s="2"/>
      <x:c r="M66" s="2"/>
      <x:c r="N66" s="2"/>
      <x:c r="O66" s="2"/>
      <x:c r="P66" s="2"/>
      <x:c r="Q66" s="2"/>
      <x:c r="R66" s="2"/>
      <x:c r="S66" s="2"/>
      <x:c r="T66" s="2"/>
      <x:c r="U66" s="2"/>
      <x:c r="V66" s="2"/>
    </x:row>
    <x:row r="67" ht="28" customHeight="1">
      <x:c r="A67" s="38" t="str">
        <x:v>C02-R010</x:v>
      </x:c>
      <x:c r="B67" s="38" t="str">
        <x:v>C02</x:v>
      </x:c>
      <x:c r="C67" s="38" t="str">
        <x:v>转弯点</x:v>
      </x:c>
      <x:c r="D67" s="48" t="n">
        <x:v>116.493283</x:v>
      </x:c>
      <x:c r="E67" s="48" t="n">
        <x:v>39.799894</x:v>
      </x:c>
      <x:c r="F67" s="38" t="str">
        <x:v>是</x:v>
      </x:c>
      <x:c r="G67" s="38" t="str">
        <x:v>OSM</x:v>
      </x:c>
      <x:c r="H67" s="38" t="str">
        <x:v>路段转弯点</x:v>
      </x:c>
      <x:c r="I67" s="2"/>
      <x:c r="J67" s="2"/>
      <x:c r="K67" s="2"/>
      <x:c r="L67" s="2"/>
      <x:c r="M67" s="2"/>
      <x:c r="N67" s="2"/>
      <x:c r="O67" s="2"/>
      <x:c r="P67" s="2"/>
      <x:c r="Q67" s="2"/>
      <x:c r="R67" s="2"/>
      <x:c r="S67" s="2"/>
      <x:c r="T67" s="2"/>
      <x:c r="U67" s="2"/>
      <x:c r="V67" s="2"/>
    </x:row>
    <x:row r="68" ht="28" customHeight="1">
      <x:c r="A68" s="38" t="str">
        <x:v>C02-R011</x:v>
      </x:c>
      <x:c r="B68" s="38" t="str">
        <x:v>C02</x:v>
      </x:c>
      <x:c r="C68" s="38" t="str">
        <x:v>转弯点</x:v>
      </x:c>
      <x:c r="D68" s="48" t="n">
        <x:v>116.493193</x:v>
      </x:c>
      <x:c r="E68" s="48" t="n">
        <x:v>39.799851</x:v>
      </x:c>
      <x:c r="F68" s="38" t="str">
        <x:v>是</x:v>
      </x:c>
      <x:c r="G68" s="38" t="str">
        <x:v>OSM</x:v>
      </x:c>
      <x:c r="H68" s="38" t="str">
        <x:v>路段转弯点</x:v>
      </x:c>
      <x:c r="I68" s="2"/>
      <x:c r="J68" s="2"/>
      <x:c r="K68" s="2"/>
      <x:c r="L68" s="2"/>
      <x:c r="M68" s="2"/>
      <x:c r="N68" s="2"/>
      <x:c r="O68" s="2"/>
      <x:c r="P68" s="2"/>
      <x:c r="Q68" s="2"/>
      <x:c r="R68" s="2"/>
      <x:c r="S68" s="2"/>
      <x:c r="T68" s="2"/>
      <x:c r="U68" s="2"/>
      <x:c r="V68" s="2"/>
    </x:row>
    <x:row r="69" ht="28" customHeight="1">
      <x:c r="A69" s="38" t="str">
        <x:v>C02-R012</x:v>
      </x:c>
      <x:c r="B69" s="38" t="str">
        <x:v>C02</x:v>
      </x:c>
      <x:c r="C69" s="38" t="str">
        <x:v>交叉口</x:v>
      </x:c>
      <x:c r="D69" s="48" t="n">
        <x:v>116.494002</x:v>
      </x:c>
      <x:c r="E69" s="48" t="n">
        <x:v>39.799638</x:v>
      </x:c>
      <x:c r="F69" s="38" t="str">
        <x:v>是</x:v>
      </x:c>
      <x:c r="G69" s="38" t="str">
        <x:v>OSM</x:v>
      </x:c>
      <x:c r="H69" s="38" t="str">
        <x:v>多路段交汇</x:v>
      </x:c>
      <x:c r="I69" s="2"/>
      <x:c r="J69" s="2"/>
      <x:c r="K69" s="2"/>
      <x:c r="L69" s="2"/>
      <x:c r="M69" s="2"/>
      <x:c r="N69" s="2"/>
      <x:c r="O69" s="2"/>
      <x:c r="P69" s="2"/>
      <x:c r="Q69" s="2"/>
      <x:c r="R69" s="2"/>
      <x:c r="S69" s="2"/>
      <x:c r="T69" s="2"/>
      <x:c r="U69" s="2"/>
      <x:c r="V69" s="2"/>
    </x:row>
    <x:row r="70" ht="28" customHeight="1">
      <x:c r="A70" s="38" t="str">
        <x:v>C02-R013</x:v>
      </x:c>
      <x:c r="B70" s="38" t="str">
        <x:v>C02</x:v>
      </x:c>
      <x:c r="C70" s="38" t="str">
        <x:v>转弯点</x:v>
      </x:c>
      <x:c r="D70" s="48" t="n">
        <x:v>116.492082</x:v>
      </x:c>
      <x:c r="E70" s="48" t="n">
        <x:v>39.799401</x:v>
      </x:c>
      <x:c r="F70" s="38" t="str">
        <x:v>是</x:v>
      </x:c>
      <x:c r="G70" s="38" t="str">
        <x:v>OSM</x:v>
      </x:c>
      <x:c r="H70" s="38" t="str">
        <x:v>路段转弯点</x:v>
      </x:c>
      <x:c r="I70" s="2"/>
      <x:c r="J70" s="2"/>
      <x:c r="K70" s="2"/>
      <x:c r="L70" s="2"/>
      <x:c r="M70" s="2"/>
      <x:c r="N70" s="2"/>
      <x:c r="O70" s="2"/>
      <x:c r="P70" s="2"/>
      <x:c r="Q70" s="2"/>
      <x:c r="R70" s="2"/>
      <x:c r="S70" s="2"/>
      <x:c r="T70" s="2"/>
      <x:c r="U70" s="2"/>
      <x:c r="V70" s="2"/>
    </x:row>
    <x:row r="71" ht="28" customHeight="1">
      <x:c r="A71" s="38" t="str">
        <x:v>C02-R014</x:v>
      </x:c>
      <x:c r="B71" s="38" t="str">
        <x:v>C02</x:v>
      </x:c>
      <x:c r="C71" s="38" t="str">
        <x:v>交叉口</x:v>
      </x:c>
      <x:c r="D71" s="48" t="n">
        <x:v>116.492133</x:v>
      </x:c>
      <x:c r="E71" s="48" t="n">
        <x:v>39.79934</x:v>
      </x:c>
      <x:c r="F71" s="38" t="str">
        <x:v>是</x:v>
      </x:c>
      <x:c r="G71" s="38" t="str">
        <x:v>OSM</x:v>
      </x:c>
      <x:c r="H71" s="38" t="str">
        <x:v>多路段交汇</x:v>
      </x:c>
      <x:c r="I71" s="2"/>
      <x:c r="J71" s="2"/>
      <x:c r="K71" s="2"/>
      <x:c r="L71" s="2"/>
      <x:c r="M71" s="2"/>
      <x:c r="N71" s="2"/>
      <x:c r="O71" s="2"/>
      <x:c r="P71" s="2"/>
      <x:c r="Q71" s="2"/>
      <x:c r="R71" s="2"/>
      <x:c r="S71" s="2"/>
      <x:c r="T71" s="2"/>
      <x:c r="U71" s="2"/>
      <x:c r="V71" s="2"/>
    </x:row>
    <x:row r="72" ht="28" customHeight="1">
      <x:c r="A72" s="38" t="str">
        <x:v>C02-R015</x:v>
      </x:c>
      <x:c r="B72" s="38" t="str">
        <x:v>C02</x:v>
      </x:c>
      <x:c r="C72" s="38" t="str">
        <x:v>转弯点</x:v>
      </x:c>
      <x:c r="D72" s="48" t="n">
        <x:v>116.49207</x:v>
      </x:c>
      <x:c r="E72" s="48" t="n">
        <x:v>39.79931</x:v>
      </x:c>
      <x:c r="F72" s="38" t="str">
        <x:v>是</x:v>
      </x:c>
      <x:c r="G72" s="38" t="str">
        <x:v>OSM</x:v>
      </x:c>
      <x:c r="H72" s="38" t="str">
        <x:v>路段转弯点</x:v>
      </x:c>
      <x:c r="I72" s="2"/>
      <x:c r="J72" s="2"/>
      <x:c r="K72" s="2"/>
      <x:c r="L72" s="2"/>
      <x:c r="M72" s="2"/>
      <x:c r="N72" s="2"/>
      <x:c r="O72" s="2"/>
      <x:c r="P72" s="2"/>
      <x:c r="Q72" s="2"/>
      <x:c r="R72" s="2"/>
      <x:c r="S72" s="2"/>
      <x:c r="T72" s="2"/>
      <x:c r="U72" s="2"/>
      <x:c r="V72" s="2"/>
    </x:row>
    <x:row r="73" ht="28" customHeight="1">
      <x:c r="A73" s="38" t="str">
        <x:v>C02-R016</x:v>
      </x:c>
      <x:c r="B73" s="38" t="str">
        <x:v>C02</x:v>
      </x:c>
      <x:c r="C73" s="38" t="str">
        <x:v>转弯点</x:v>
      </x:c>
      <x:c r="D73" s="48" t="n">
        <x:v>116.493111</x:v>
      </x:c>
      <x:c r="E73" s="48" t="n">
        <x:v>39.799208</x:v>
      </x:c>
      <x:c r="F73" s="38" t="str">
        <x:v>是</x:v>
      </x:c>
      <x:c r="G73" s="38" t="str">
        <x:v>OSM</x:v>
      </x:c>
      <x:c r="H73" s="38" t="str">
        <x:v>路段转弯点</x:v>
      </x:c>
      <x:c r="I73" s="2"/>
      <x:c r="J73" s="2"/>
      <x:c r="K73" s="2"/>
      <x:c r="L73" s="2"/>
      <x:c r="M73" s="2"/>
      <x:c r="N73" s="2"/>
      <x:c r="O73" s="2"/>
      <x:c r="P73" s="2"/>
      <x:c r="Q73" s="2"/>
      <x:c r="R73" s="2"/>
      <x:c r="S73" s="2"/>
      <x:c r="T73" s="2"/>
      <x:c r="U73" s="2"/>
      <x:c r="V73" s="2"/>
    </x:row>
    <x:row r="74" ht="28" customHeight="1">
      <x:c r="A74" s="38" t="str">
        <x:v>C02-R017</x:v>
      </x:c>
      <x:c r="B74" s="38" t="str">
        <x:v>C02</x:v>
      </x:c>
      <x:c r="C74" s="38" t="str">
        <x:v>转弯点</x:v>
      </x:c>
      <x:c r="D74" s="48" t="n">
        <x:v>116.494375</x:v>
      </x:c>
      <x:c r="E74" s="48" t="n">
        <x:v>39.799154</x:v>
      </x:c>
      <x:c r="F74" s="38" t="str">
        <x:v>是</x:v>
      </x:c>
      <x:c r="G74" s="38" t="str">
        <x:v>OSM</x:v>
      </x:c>
      <x:c r="H74" s="38" t="str">
        <x:v>路段转弯点</x:v>
      </x:c>
      <x:c r="I74" s="2"/>
      <x:c r="J74" s="2"/>
      <x:c r="K74" s="2"/>
      <x:c r="L74" s="2"/>
      <x:c r="M74" s="2"/>
      <x:c r="N74" s="2"/>
      <x:c r="O74" s="2"/>
      <x:c r="P74" s="2"/>
      <x:c r="Q74" s="2"/>
      <x:c r="R74" s="2"/>
      <x:c r="S74" s="2"/>
      <x:c r="T74" s="2"/>
      <x:c r="U74" s="2"/>
      <x:c r="V74" s="2"/>
    </x:row>
    <x:row r="75" ht="28" customHeight="1">
      <x:c r="A75" s="38" t="str">
        <x:v>C02-R018</x:v>
      </x:c>
      <x:c r="B75" s="38" t="str">
        <x:v>C02</x:v>
      </x:c>
      <x:c r="C75" s="38" t="str">
        <x:v>转弯点</x:v>
      </x:c>
      <x:c r="D75" s="48" t="n">
        <x:v>116.494712</x:v>
      </x:c>
      <x:c r="E75" s="48" t="n">
        <x:v>39.799094</x:v>
      </x:c>
      <x:c r="F75" s="38" t="str">
        <x:v>是</x:v>
      </x:c>
      <x:c r="G75" s="38" t="str">
        <x:v>OSM</x:v>
      </x:c>
      <x:c r="H75" s="38" t="str">
        <x:v>路段转弯点</x:v>
      </x:c>
      <x:c r="I75" s="2"/>
      <x:c r="J75" s="2"/>
      <x:c r="K75" s="2"/>
      <x:c r="L75" s="2"/>
      <x:c r="M75" s="2"/>
      <x:c r="N75" s="2"/>
      <x:c r="O75" s="2"/>
      <x:c r="P75" s="2"/>
      <x:c r="Q75" s="2"/>
      <x:c r="R75" s="2"/>
      <x:c r="S75" s="2"/>
      <x:c r="T75" s="2"/>
      <x:c r="U75" s="2"/>
      <x:c r="V75" s="2"/>
    </x:row>
    <x:row r="76" ht="28" customHeight="1">
      <x:c r="A76" s="38" t="str">
        <x:v>C02-R019</x:v>
      </x:c>
      <x:c r="B76" s="38" t="str">
        <x:v>C02</x:v>
      </x:c>
      <x:c r="C76" s="38" t="str">
        <x:v>转弯点</x:v>
      </x:c>
      <x:c r="D76" s="48" t="n">
        <x:v>116.493033</x:v>
      </x:c>
      <x:c r="E76" s="48" t="n">
        <x:v>39.799064</x:v>
      </x:c>
      <x:c r="F76" s="38" t="str">
        <x:v>是</x:v>
      </x:c>
      <x:c r="G76" s="38" t="str">
        <x:v>OSM</x:v>
      </x:c>
      <x:c r="H76" s="38" t="str">
        <x:v>路段转弯点</x:v>
      </x:c>
      <x:c r="I76" s="2"/>
      <x:c r="J76" s="2"/>
      <x:c r="K76" s="2"/>
      <x:c r="L76" s="2"/>
      <x:c r="M76" s="2"/>
      <x:c r="N76" s="2"/>
      <x:c r="O76" s="2"/>
      <x:c r="P76" s="2"/>
      <x:c r="Q76" s="2"/>
      <x:c r="R76" s="2"/>
      <x:c r="S76" s="2"/>
      <x:c r="T76" s="2"/>
      <x:c r="U76" s="2"/>
      <x:c r="V76" s="2"/>
    </x:row>
    <x:row r="77" ht="28" customHeight="1">
      <x:c r="A77" s="38" t="str">
        <x:v>C02-R020</x:v>
      </x:c>
      <x:c r="B77" s="38" t="str">
        <x:v>C02</x:v>
      </x:c>
      <x:c r="C77" s="38" t="str">
        <x:v>转弯点</x:v>
      </x:c>
      <x:c r="D77" s="48" t="n">
        <x:v>116.494755</x:v>
      </x:c>
      <x:c r="E77" s="48" t="n">
        <x:v>39.79905</x:v>
      </x:c>
      <x:c r="F77" s="38" t="str">
        <x:v>是</x:v>
      </x:c>
      <x:c r="G77" s="38" t="str">
        <x:v>OSM</x:v>
      </x:c>
      <x:c r="H77" s="38" t="str">
        <x:v>路段转弯点</x:v>
      </x:c>
      <x:c r="I77" s="2"/>
      <x:c r="J77" s="2"/>
      <x:c r="K77" s="2"/>
      <x:c r="L77" s="2"/>
      <x:c r="M77" s="2"/>
      <x:c r="N77" s="2"/>
      <x:c r="O77" s="2"/>
      <x:c r="P77" s="2"/>
      <x:c r="Q77" s="2"/>
      <x:c r="R77" s="2"/>
      <x:c r="S77" s="2"/>
      <x:c r="T77" s="2"/>
      <x:c r="U77" s="2"/>
      <x:c r="V77" s="2"/>
    </x:row>
    <x:row r="78" ht="28" customHeight="1">
      <x:c r="A78" s="38" t="str">
        <x:v>C02-R021</x:v>
      </x:c>
      <x:c r="B78" s="38" t="str">
        <x:v>C02</x:v>
      </x:c>
      <x:c r="C78" s="38" t="str">
        <x:v>转弯点</x:v>
      </x:c>
      <x:c r="D78" s="48" t="n">
        <x:v>116.495049</x:v>
      </x:c>
      <x:c r="E78" s="48" t="n">
        <x:v>39.798998</x:v>
      </x:c>
      <x:c r="F78" s="38" t="str">
        <x:v>是</x:v>
      </x:c>
      <x:c r="G78" s="38" t="str">
        <x:v>OSM</x:v>
      </x:c>
      <x:c r="H78" s="38" t="str">
        <x:v>路段转弯点</x:v>
      </x:c>
      <x:c r="I78" s="2"/>
      <x:c r="J78" s="2"/>
      <x:c r="K78" s="2"/>
      <x:c r="L78" s="2"/>
      <x:c r="M78" s="2"/>
      <x:c r="N78" s="2"/>
      <x:c r="O78" s="2"/>
      <x:c r="P78" s="2"/>
      <x:c r="Q78" s="2"/>
      <x:c r="R78" s="2"/>
      <x:c r="S78" s="2"/>
      <x:c r="T78" s="2"/>
      <x:c r="U78" s="2"/>
      <x:c r="V78" s="2"/>
    </x:row>
    <x:row r="79" ht="28" customHeight="1">
      <x:c r="A79" s="38" t="str">
        <x:v>C02-R022</x:v>
      </x:c>
      <x:c r="B79" s="38" t="str">
        <x:v>C02</x:v>
      </x:c>
      <x:c r="C79" s="38" t="str">
        <x:v>转弯点</x:v>
      </x:c>
      <x:c r="D79" s="48" t="n">
        <x:v>116.493009</x:v>
      </x:c>
      <x:c r="E79" s="48" t="n">
        <x:v>39.798946</x:v>
      </x:c>
      <x:c r="F79" s="38" t="str">
        <x:v>是</x:v>
      </x:c>
      <x:c r="G79" s="38" t="str">
        <x:v>OSM</x:v>
      </x:c>
      <x:c r="H79" s="38" t="str">
        <x:v>路段转弯点</x:v>
      </x:c>
      <x:c r="I79" s="2"/>
      <x:c r="J79" s="2"/>
      <x:c r="K79" s="2"/>
      <x:c r="L79" s="2"/>
      <x:c r="M79" s="2"/>
      <x:c r="N79" s="2"/>
      <x:c r="O79" s="2"/>
      <x:c r="P79" s="2"/>
      <x:c r="Q79" s="2"/>
      <x:c r="R79" s="2"/>
      <x:c r="S79" s="2"/>
      <x:c r="T79" s="2"/>
      <x:c r="U79" s="2"/>
      <x:c r="V79" s="2"/>
    </x:row>
    <x:row r="80" ht="28" customHeight="1">
      <x:c r="A80" s="38" t="str">
        <x:v>C02-R023</x:v>
      </x:c>
      <x:c r="B80" s="38" t="str">
        <x:v>C02</x:v>
      </x:c>
      <x:c r="C80" s="38" t="str">
        <x:v>转弯点</x:v>
      </x:c>
      <x:c r="D80" s="48" t="n">
        <x:v>116.493058</x:v>
      </x:c>
      <x:c r="E80" s="48" t="n">
        <x:v>39.798829</x:v>
      </x:c>
      <x:c r="F80" s="38" t="str">
        <x:v>是</x:v>
      </x:c>
      <x:c r="G80" s="38" t="str">
        <x:v>OSM</x:v>
      </x:c>
      <x:c r="H80" s="38" t="str">
        <x:v>路段转弯点</x:v>
      </x:c>
      <x:c r="I80" s="2"/>
      <x:c r="J80" s="2"/>
      <x:c r="K80" s="2"/>
      <x:c r="L80" s="2"/>
      <x:c r="M80" s="2"/>
      <x:c r="N80" s="2"/>
      <x:c r="O80" s="2"/>
      <x:c r="P80" s="2"/>
      <x:c r="Q80" s="2"/>
      <x:c r="R80" s="2"/>
      <x:c r="S80" s="2"/>
      <x:c r="T80" s="2"/>
      <x:c r="U80" s="2"/>
      <x:c r="V80" s="2"/>
    </x:row>
    <x:row r="81" ht="28" customHeight="1">
      <x:c r="A81" s="38" t="str">
        <x:v>C02-R024</x:v>
      </x:c>
      <x:c r="B81" s="38" t="str">
        <x:v>C02</x:v>
      </x:c>
      <x:c r="C81" s="38" t="str">
        <x:v>出入口</x:v>
      </x:c>
      <x:c r="D81" s="48" t="n">
        <x:v>116.492548</x:v>
      </x:c>
      <x:c r="E81" s="48" t="n">
        <x:v>39.79882</x:v>
      </x:c>
      <x:c r="F81" s="38" t="str">
        <x:v>是</x:v>
      </x:c>
      <x:c r="G81" s="38" t="str">
        <x:v>OSM 节点 + 出入口位置推定</x:v>
      </x:c>
      <x:c r="H81" s="38" t="str">
        <x:v>小区出入口（与市政道路衔接点）</x:v>
      </x:c>
      <x:c r="I81" s="2"/>
      <x:c r="J81" s="2"/>
      <x:c r="K81" s="2"/>
      <x:c r="L81" s="2"/>
      <x:c r="M81" s="2"/>
      <x:c r="N81" s="2"/>
      <x:c r="O81" s="2"/>
      <x:c r="P81" s="2"/>
      <x:c r="Q81" s="2"/>
      <x:c r="R81" s="2"/>
      <x:c r="S81" s="2"/>
      <x:c r="T81" s="2"/>
      <x:c r="U81" s="2"/>
      <x:c r="V81" s="2"/>
    </x:row>
    <x:row r="82" ht="28" customHeight="1">
      <x:c r="A82" s="38" t="str">
        <x:v>C02-R025</x:v>
      </x:c>
      <x:c r="B82" s="38" t="str">
        <x:v>C02</x:v>
      </x:c>
      <x:c r="C82" s="38" t="str">
        <x:v>转弯点</x:v>
      </x:c>
      <x:c r="D82" s="48" t="n">
        <x:v>116.492484</x:v>
      </x:c>
      <x:c r="E82" s="48" t="n">
        <x:v>39.798784</x:v>
      </x:c>
      <x:c r="F82" s="38" t="str">
        <x:v>是</x:v>
      </x:c>
      <x:c r="G82" s="38" t="str">
        <x:v>OSM</x:v>
      </x:c>
      <x:c r="H82" s="38" t="str">
        <x:v>路段转弯点</x:v>
      </x:c>
      <x:c r="I82" s="2"/>
      <x:c r="J82" s="2"/>
      <x:c r="K82" s="2"/>
      <x:c r="L82" s="2"/>
      <x:c r="M82" s="2"/>
      <x:c r="N82" s="2"/>
      <x:c r="O82" s="2"/>
      <x:c r="P82" s="2"/>
      <x:c r="Q82" s="2"/>
      <x:c r="R82" s="2"/>
      <x:c r="S82" s="2"/>
      <x:c r="T82" s="2"/>
      <x:c r="U82" s="2"/>
      <x:c r="V82" s="2"/>
    </x:row>
    <x:row r="83" ht="28" customHeight="1">
      <x:c r="A83" s="38" t="str">
        <x:v>C02-R026</x:v>
      </x:c>
      <x:c r="B83" s="38" t="str">
        <x:v>C02</x:v>
      </x:c>
      <x:c r="C83" s="38" t="str">
        <x:v>交叉口</x:v>
      </x:c>
      <x:c r="D83" s="48" t="n">
        <x:v>116.492657</x:v>
      </x:c>
      <x:c r="E83" s="48" t="n">
        <x:v>39.798631</x:v>
      </x:c>
      <x:c r="F83" s="38" t="str">
        <x:v>是</x:v>
      </x:c>
      <x:c r="G83" s="38" t="str">
        <x:v>OSM</x:v>
      </x:c>
      <x:c r="H83" s="38" t="str">
        <x:v>多路段交汇</x:v>
      </x:c>
      <x:c r="I83" s="2"/>
      <x:c r="J83" s="2"/>
      <x:c r="K83" s="2"/>
      <x:c r="L83" s="2"/>
      <x:c r="M83" s="2"/>
      <x:c r="N83" s="2"/>
      <x:c r="O83" s="2"/>
      <x:c r="P83" s="2"/>
      <x:c r="Q83" s="2"/>
      <x:c r="R83" s="2"/>
      <x:c r="S83" s="2"/>
      <x:c r="T83" s="2"/>
      <x:c r="U83" s="2"/>
      <x:c r="V83" s="2"/>
    </x:row>
    <x:row r="84" ht="28" customHeight="1">
      <x:c r="A84" s="38" t="str">
        <x:v>C02-R027</x:v>
      </x:c>
      <x:c r="B84" s="38" t="str">
        <x:v>C02</x:v>
      </x:c>
      <x:c r="C84" s="38" t="str">
        <x:v>交叉口</x:v>
      </x:c>
      <x:c r="D84" s="48" t="n">
        <x:v>116.492931</x:v>
      </x:c>
      <x:c r="E84" s="48" t="n">
        <x:v>39.798297</x:v>
      </x:c>
      <x:c r="F84" s="38" t="str">
        <x:v>是</x:v>
      </x:c>
      <x:c r="G84" s="38" t="str">
        <x:v>OSM</x:v>
      </x:c>
      <x:c r="H84" s="38" t="str">
        <x:v>多路段交汇</x:v>
      </x:c>
      <x:c r="I84" s="2"/>
      <x:c r="J84" s="2"/>
      <x:c r="K84" s="2"/>
      <x:c r="L84" s="2"/>
      <x:c r="M84" s="2"/>
      <x:c r="N84" s="2"/>
      <x:c r="O84" s="2"/>
      <x:c r="P84" s="2"/>
      <x:c r="Q84" s="2"/>
      <x:c r="R84" s="2"/>
      <x:c r="S84" s="2"/>
      <x:c r="T84" s="2"/>
      <x:c r="U84" s="2"/>
      <x:c r="V84" s="2"/>
    </x:row>
    <x:row r="85" ht="28" customHeight="1">
      <x:c r="A85" s="38" t="str">
        <x:v>C02-R028</x:v>
      </x:c>
      <x:c r="B85" s="38" t="str">
        <x:v>C02</x:v>
      </x:c>
      <x:c r="C85" s="38" t="str">
        <x:v>交叉口</x:v>
      </x:c>
      <x:c r="D85" s="48" t="n">
        <x:v>116.493005</x:v>
      </x:c>
      <x:c r="E85" s="48" t="n">
        <x:v>39.798206</x:v>
      </x:c>
      <x:c r="F85" s="38" t="str">
        <x:v>是</x:v>
      </x:c>
      <x:c r="G85" s="38" t="str">
        <x:v>OSM</x:v>
      </x:c>
      <x:c r="H85" s="38" t="str">
        <x:v>多路段交汇</x:v>
      </x:c>
      <x:c r="I85" s="2"/>
      <x:c r="J85" s="2"/>
      <x:c r="K85" s="2"/>
      <x:c r="L85" s="2"/>
      <x:c r="M85" s="2"/>
      <x:c r="N85" s="2"/>
      <x:c r="O85" s="2"/>
      <x:c r="P85" s="2"/>
      <x:c r="Q85" s="2"/>
      <x:c r="R85" s="2"/>
      <x:c r="S85" s="2"/>
      <x:c r="T85" s="2"/>
      <x:c r="U85" s="2"/>
      <x:c r="V85" s="2"/>
    </x:row>
    <x:row r="86" ht="28" customHeight="1">
      <x:c r="A86" s="38" t="str">
        <x:v>C02-R029</x:v>
      </x:c>
      <x:c r="B86" s="38" t="str">
        <x:v>C02</x:v>
      </x:c>
      <x:c r="C86" s="38" t="str">
        <x:v>转弯点</x:v>
      </x:c>
      <x:c r="D86" s="48" t="n">
        <x:v>116.491412</x:v>
      </x:c>
      <x:c r="E86" s="48" t="n">
        <x:v>39.798128</x:v>
      </x:c>
      <x:c r="F86" s="38" t="str">
        <x:v>是</x:v>
      </x:c>
      <x:c r="G86" s="38" t="str">
        <x:v>OSM</x:v>
      </x:c>
      <x:c r="H86" s="38" t="str">
        <x:v>路段转弯点</x:v>
      </x:c>
      <x:c r="I86" s="2"/>
      <x:c r="J86" s="2"/>
      <x:c r="K86" s="2"/>
      <x:c r="L86" s="2"/>
      <x:c r="M86" s="2"/>
      <x:c r="N86" s="2"/>
      <x:c r="O86" s="2"/>
      <x:c r="P86" s="2"/>
      <x:c r="Q86" s="2"/>
      <x:c r="R86" s="2"/>
      <x:c r="S86" s="2"/>
      <x:c r="T86" s="2"/>
      <x:c r="U86" s="2"/>
      <x:c r="V86" s="2"/>
    </x:row>
    <x:row r="87" ht="28" customHeight="1">
      <x:c r="A87" s="38" t="str">
        <x:v>C02-R030</x:v>
      </x:c>
      <x:c r="B87" s="38" t="str">
        <x:v>C02</x:v>
      </x:c>
      <x:c r="C87" s="38" t="str">
        <x:v>转弯点</x:v>
      </x:c>
      <x:c r="D87" s="48" t="n">
        <x:v>116.491602</x:v>
      </x:c>
      <x:c r="E87" s="48" t="n">
        <x:v>39.798121</x:v>
      </x:c>
      <x:c r="F87" s="38" t="str">
        <x:v>是</x:v>
      </x:c>
      <x:c r="G87" s="38" t="str">
        <x:v>OSM</x:v>
      </x:c>
      <x:c r="H87" s="38" t="str">
        <x:v>路段转弯点</x:v>
      </x:c>
      <x:c r="I87" s="2"/>
      <x:c r="J87" s="2"/>
      <x:c r="K87" s="2"/>
      <x:c r="L87" s="2"/>
      <x:c r="M87" s="2"/>
      <x:c r="N87" s="2"/>
      <x:c r="O87" s="2"/>
      <x:c r="P87" s="2"/>
      <x:c r="Q87" s="2"/>
      <x:c r="R87" s="2"/>
      <x:c r="S87" s="2"/>
      <x:c r="T87" s="2"/>
      <x:c r="U87" s="2"/>
      <x:c r="V87" s="2"/>
    </x:row>
    <x:row r="88" ht="28" customHeight="1">
      <x:c r="A88" s="38" t="str">
        <x:v>C02-R031</x:v>
      </x:c>
      <x:c r="B88" s="38" t="str">
        <x:v>C02</x:v>
      </x:c>
      <x:c r="C88" s="38" t="str">
        <x:v>转弯点</x:v>
      </x:c>
      <x:c r="D88" s="48" t="n">
        <x:v>116.491196</x:v>
      </x:c>
      <x:c r="E88" s="48" t="n">
        <x:v>39.798099</x:v>
      </x:c>
      <x:c r="F88" s="38" t="str">
        <x:v>是</x:v>
      </x:c>
      <x:c r="G88" s="38" t="str">
        <x:v>OSM</x:v>
      </x:c>
      <x:c r="H88" s="38" t="str">
        <x:v>路段转弯点</x:v>
      </x:c>
      <x:c r="I88" s="2"/>
      <x:c r="J88" s="2"/>
      <x:c r="K88" s="2"/>
      <x:c r="L88" s="2"/>
      <x:c r="M88" s="2"/>
      <x:c r="N88" s="2"/>
      <x:c r="O88" s="2"/>
      <x:c r="P88" s="2"/>
      <x:c r="Q88" s="2"/>
      <x:c r="R88" s="2"/>
      <x:c r="S88" s="2"/>
      <x:c r="T88" s="2"/>
      <x:c r="U88" s="2"/>
      <x:c r="V88" s="2"/>
    </x:row>
    <x:row r="89" ht="28" customHeight="1">
      <x:c r="A89" s="38" t="str">
        <x:v>C02-R032</x:v>
      </x:c>
      <x:c r="B89" s="38" t="str">
        <x:v>C02</x:v>
      </x:c>
      <x:c r="C89" s="38" t="str">
        <x:v>转弯点</x:v>
      </x:c>
      <x:c r="D89" s="48" t="n">
        <x:v>116.491751</x:v>
      </x:c>
      <x:c r="E89" s="48" t="n">
        <x:v>39.798099</x:v>
      </x:c>
      <x:c r="F89" s="38" t="str">
        <x:v>是</x:v>
      </x:c>
      <x:c r="G89" s="38" t="str">
        <x:v>OSM</x:v>
      </x:c>
      <x:c r="H89" s="38" t="str">
        <x:v>路段转弯点</x:v>
      </x:c>
      <x:c r="I89" s="2"/>
      <x:c r="J89" s="2"/>
      <x:c r="K89" s="2"/>
      <x:c r="L89" s="2"/>
      <x:c r="M89" s="2"/>
      <x:c r="N89" s="2"/>
      <x:c r="O89" s="2"/>
      <x:c r="P89" s="2"/>
      <x:c r="Q89" s="2"/>
      <x:c r="R89" s="2"/>
      <x:c r="S89" s="2"/>
      <x:c r="T89" s="2"/>
      <x:c r="U89" s="2"/>
      <x:c r="V89" s="2"/>
    </x:row>
    <x:row r="90" ht="28" customHeight="1">
      <x:c r="A90" s="38" t="str">
        <x:v>C02-R033</x:v>
      </x:c>
      <x:c r="B90" s="38" t="str">
        <x:v>C02</x:v>
      </x:c>
      <x:c r="C90" s="38" t="str">
        <x:v>转弯点</x:v>
      </x:c>
      <x:c r="D90" s="48" t="n">
        <x:v>116.492174</x:v>
      </x:c>
      <x:c r="E90" s="48" t="n">
        <x:v>39.798015</x:v>
      </x:c>
      <x:c r="F90" s="38" t="str">
        <x:v>是</x:v>
      </x:c>
      <x:c r="G90" s="38" t="str">
        <x:v>OSM</x:v>
      </x:c>
      <x:c r="H90" s="38" t="str">
        <x:v>路段转弯点</x:v>
      </x:c>
      <x:c r="I90" s="2"/>
      <x:c r="J90" s="2"/>
      <x:c r="K90" s="2"/>
      <x:c r="L90" s="2"/>
      <x:c r="M90" s="2"/>
      <x:c r="N90" s="2"/>
      <x:c r="O90" s="2"/>
      <x:c r="P90" s="2"/>
      <x:c r="Q90" s="2"/>
      <x:c r="R90" s="2"/>
      <x:c r="S90" s="2"/>
      <x:c r="T90" s="2"/>
      <x:c r="U90" s="2"/>
      <x:c r="V90" s="2"/>
    </x:row>
    <x:row r="91" ht="28" customHeight="1">
      <x:c r="A91" s="38" t="str">
        <x:v>C02-R034</x:v>
      </x:c>
      <x:c r="B91" s="38" t="str">
        <x:v>C02</x:v>
      </x:c>
      <x:c r="C91" s="38" t="str">
        <x:v>转弯点</x:v>
      </x:c>
      <x:c r="D91" s="48" t="n">
        <x:v>116.492028</x:v>
      </x:c>
      <x:c r="E91" s="48" t="n">
        <x:v>39.798002</x:v>
      </x:c>
      <x:c r="F91" s="38" t="str">
        <x:v>是</x:v>
      </x:c>
      <x:c r="G91" s="38" t="str">
        <x:v>OSM</x:v>
      </x:c>
      <x:c r="H91" s="38" t="str">
        <x:v>路段转弯点</x:v>
      </x:c>
      <x:c r="I91" s="2"/>
      <x:c r="J91" s="2"/>
      <x:c r="K91" s="2"/>
      <x:c r="L91" s="2"/>
      <x:c r="M91" s="2"/>
      <x:c r="N91" s="2"/>
      <x:c r="O91" s="2"/>
      <x:c r="P91" s="2"/>
      <x:c r="Q91" s="2"/>
      <x:c r="R91" s="2"/>
      <x:c r="S91" s="2"/>
      <x:c r="T91" s="2"/>
      <x:c r="U91" s="2"/>
      <x:c r="V91" s="2"/>
    </x:row>
    <x:row r="92" ht="28" customHeight="1">
      <x:c r="A92" s="38" t="str">
        <x:v>C02-R035</x:v>
      </x:c>
      <x:c r="B92" s="38" t="str">
        <x:v>C02</x:v>
      </x:c>
      <x:c r="C92" s="38" t="str">
        <x:v>交叉口</x:v>
      </x:c>
      <x:c r="D92" s="48" t="n">
        <x:v>116.492302</x:v>
      </x:c>
      <x:c r="E92" s="48" t="n">
        <x:v>39.797991</x:v>
      </x:c>
      <x:c r="F92" s="38" t="str">
        <x:v>是</x:v>
      </x:c>
      <x:c r="G92" s="38" t="str">
        <x:v>OSM</x:v>
      </x:c>
      <x:c r="H92" s="38" t="str">
        <x:v>多路段交汇</x:v>
      </x:c>
      <x:c r="I92" s="2"/>
      <x:c r="J92" s="2"/>
      <x:c r="K92" s="2"/>
      <x:c r="L92" s="2"/>
      <x:c r="M92" s="2"/>
      <x:c r="N92" s="2"/>
      <x:c r="O92" s="2"/>
      <x:c r="P92" s="2"/>
      <x:c r="Q92" s="2"/>
      <x:c r="R92" s="2"/>
      <x:c r="S92" s="2"/>
      <x:c r="T92" s="2"/>
      <x:c r="U92" s="2"/>
      <x:c r="V92" s="2"/>
    </x:row>
    <x:row r="93" ht="28" customHeight="1">
      <x:c r="A93" s="38" t="str">
        <x:v>C02-R036</x:v>
      </x:c>
      <x:c r="B93" s="38" t="str">
        <x:v>C02</x:v>
      </x:c>
      <x:c r="C93" s="38" t="str">
        <x:v>转弯点</x:v>
      </x:c>
      <x:c r="D93" s="48" t="n">
        <x:v>116.490928</x:v>
      </x:c>
      <x:c r="E93" s="48" t="n">
        <x:v>39.797984</x:v>
      </x:c>
      <x:c r="F93" s="38" t="str">
        <x:v>是</x:v>
      </x:c>
      <x:c r="G93" s="38" t="str">
        <x:v>OSM</x:v>
      </x:c>
      <x:c r="H93" s="38" t="str">
        <x:v>路段转弯点</x:v>
      </x:c>
      <x:c r="I93" s="2"/>
      <x:c r="J93" s="2"/>
      <x:c r="K93" s="2"/>
      <x:c r="L93" s="2"/>
      <x:c r="M93" s="2"/>
      <x:c r="N93" s="2"/>
      <x:c r="O93" s="2"/>
      <x:c r="P93" s="2"/>
      <x:c r="Q93" s="2"/>
      <x:c r="R93" s="2"/>
      <x:c r="S93" s="2"/>
      <x:c r="T93" s="2"/>
      <x:c r="U93" s="2"/>
      <x:c r="V93" s="2"/>
    </x:row>
    <x:row r="94" ht="28" customHeight="1">
      <x:c r="A94" s="38" t="str">
        <x:v>C02-R037</x:v>
      </x:c>
      <x:c r="B94" s="38" t="str">
        <x:v>C02</x:v>
      </x:c>
      <x:c r="C94" s="38" t="str">
        <x:v>转弯点</x:v>
      </x:c>
      <x:c r="D94" s="48" t="n">
        <x:v>116.493194</x:v>
      </x:c>
      <x:c r="E94" s="48" t="n">
        <x:v>39.797974</x:v>
      </x:c>
      <x:c r="F94" s="38" t="str">
        <x:v>是</x:v>
      </x:c>
      <x:c r="G94" s="38" t="str">
        <x:v>OSM</x:v>
      </x:c>
      <x:c r="H94" s="38" t="str">
        <x:v>路段转弯点</x:v>
      </x:c>
      <x:c r="I94" s="2"/>
      <x:c r="J94" s="2"/>
      <x:c r="K94" s="2"/>
      <x:c r="L94" s="2"/>
      <x:c r="M94" s="2"/>
      <x:c r="N94" s="2"/>
      <x:c r="O94" s="2"/>
      <x:c r="P94" s="2"/>
      <x:c r="Q94" s="2"/>
      <x:c r="R94" s="2"/>
      <x:c r="S94" s="2"/>
      <x:c r="T94" s="2"/>
      <x:c r="U94" s="2"/>
      <x:c r="V94" s="2"/>
    </x:row>
    <x:row r="95" ht="28" customHeight="1">
      <x:c r="A95" s="38" t="str">
        <x:v>C02-R038</x:v>
      </x:c>
      <x:c r="B95" s="38" t="str">
        <x:v>C02</x:v>
      </x:c>
      <x:c r="C95" s="38" t="str">
        <x:v>转弯点</x:v>
      </x:c>
      <x:c r="D95" s="48" t="n">
        <x:v>116.498502</x:v>
      </x:c>
      <x:c r="E95" s="48" t="n">
        <x:v>39.797969</x:v>
      </x:c>
      <x:c r="F95" s="38" t="str">
        <x:v>是</x:v>
      </x:c>
      <x:c r="G95" s="38" t="str">
        <x:v>OSM</x:v>
      </x:c>
      <x:c r="H95" s="38" t="str">
        <x:v>路段转弯点</x:v>
      </x:c>
      <x:c r="I95" s="2"/>
      <x:c r="J95" s="2"/>
      <x:c r="K95" s="2"/>
      <x:c r="L95" s="2"/>
      <x:c r="M95" s="2"/>
      <x:c r="N95" s="2"/>
      <x:c r="O95" s="2"/>
      <x:c r="P95" s="2"/>
      <x:c r="Q95" s="2"/>
      <x:c r="R95" s="2"/>
      <x:c r="S95" s="2"/>
      <x:c r="T95" s="2"/>
      <x:c r="U95" s="2"/>
      <x:c r="V95" s="2"/>
    </x:row>
    <x:row r="96" ht="28" customHeight="1">
      <x:c r="A96" s="38" t="str">
        <x:v>C02-R039</x:v>
      </x:c>
      <x:c r="B96" s="38" t="str">
        <x:v>C02</x:v>
      </x:c>
      <x:c r="C96" s="38" t="str">
        <x:v>交叉口</x:v>
      </x:c>
      <x:c r="D96" s="48" t="n">
        <x:v>116.492367</x:v>
      </x:c>
      <x:c r="E96" s="48" t="n">
        <x:v>39.797921</x:v>
      </x:c>
      <x:c r="F96" s="38" t="str">
        <x:v>是</x:v>
      </x:c>
      <x:c r="G96" s="38" t="str">
        <x:v>OSM</x:v>
      </x:c>
      <x:c r="H96" s="38" t="str">
        <x:v>多路段交汇</x:v>
      </x:c>
      <x:c r="I96" s="2"/>
      <x:c r="J96" s="2"/>
      <x:c r="K96" s="2"/>
      <x:c r="L96" s="2"/>
      <x:c r="M96" s="2"/>
      <x:c r="N96" s="2"/>
      <x:c r="O96" s="2"/>
      <x:c r="P96" s="2"/>
      <x:c r="Q96" s="2"/>
      <x:c r="R96" s="2"/>
      <x:c r="S96" s="2"/>
      <x:c r="T96" s="2"/>
      <x:c r="U96" s="2"/>
      <x:c r="V96" s="2"/>
    </x:row>
    <x:row r="97" ht="28" customHeight="1">
      <x:c r="A97" s="38" t="str">
        <x:v>C02-R040</x:v>
      </x:c>
      <x:c r="B97" s="38" t="str">
        <x:v>C02</x:v>
      </x:c>
      <x:c r="C97" s="38" t="str">
        <x:v>转弯点</x:v>
      </x:c>
      <x:c r="D97" s="48" t="n">
        <x:v>116.490725</x:v>
      </x:c>
      <x:c r="E97" s="48" t="n">
        <x:v>39.797782</x:v>
      </x:c>
      <x:c r="F97" s="38" t="str">
        <x:v>是</x:v>
      </x:c>
      <x:c r="G97" s="38" t="str">
        <x:v>OSM</x:v>
      </x:c>
      <x:c r="H97" s="38" t="str">
        <x:v>路段转弯点</x:v>
      </x:c>
      <x:c r="I97" s="2"/>
      <x:c r="J97" s="2"/>
      <x:c r="K97" s="2"/>
      <x:c r="L97" s="2"/>
      <x:c r="M97" s="2"/>
      <x:c r="N97" s="2"/>
      <x:c r="O97" s="2"/>
      <x:c r="P97" s="2"/>
      <x:c r="Q97" s="2"/>
      <x:c r="R97" s="2"/>
      <x:c r="S97" s="2"/>
      <x:c r="T97" s="2"/>
      <x:c r="U97" s="2"/>
      <x:c r="V97" s="2"/>
    </x:row>
    <x:row r="98" ht="28" customHeight="1">
      <x:c r="A98" s="38" t="str">
        <x:v>C02-R041</x:v>
      </x:c>
      <x:c r="B98" s="38" t="str">
        <x:v>C02</x:v>
      </x:c>
      <x:c r="C98" s="38" t="str">
        <x:v>转弯点</x:v>
      </x:c>
      <x:c r="D98" s="48" t="n">
        <x:v>116.49237</x:v>
      </x:c>
      <x:c r="E98" s="48" t="n">
        <x:v>39.797744</x:v>
      </x:c>
      <x:c r="F98" s="38" t="str">
        <x:v>是</x:v>
      </x:c>
      <x:c r="G98" s="38" t="str">
        <x:v>OSM</x:v>
      </x:c>
      <x:c r="H98" s="38" t="str">
        <x:v>路段转弯点</x:v>
      </x:c>
      <x:c r="I98" s="2"/>
      <x:c r="J98" s="2"/>
      <x:c r="K98" s="2"/>
      <x:c r="L98" s="2"/>
      <x:c r="M98" s="2"/>
      <x:c r="N98" s="2"/>
      <x:c r="O98" s="2"/>
      <x:c r="P98" s="2"/>
      <x:c r="Q98" s="2"/>
      <x:c r="R98" s="2"/>
      <x:c r="S98" s="2"/>
      <x:c r="T98" s="2"/>
      <x:c r="U98" s="2"/>
      <x:c r="V98" s="2"/>
    </x:row>
    <x:row r="99" ht="28" customHeight="1">
      <x:c r="A99" s="38" t="str">
        <x:v>C02-R042</x:v>
      </x:c>
      <x:c r="B99" s="38" t="str">
        <x:v>C02</x:v>
      </x:c>
      <x:c r="C99" s="38" t="str">
        <x:v>转弯点</x:v>
      </x:c>
      <x:c r="D99" s="48" t="n">
        <x:v>116.493384</x:v>
      </x:c>
      <x:c r="E99" s="48" t="n">
        <x:v>39.797742</x:v>
      </x:c>
      <x:c r="F99" s="38" t="str">
        <x:v>是</x:v>
      </x:c>
      <x:c r="G99" s="38" t="str">
        <x:v>OSM</x:v>
      </x:c>
      <x:c r="H99" s="38" t="str">
        <x:v>路段转弯点</x:v>
      </x:c>
      <x:c r="I99" s="2"/>
      <x:c r="J99" s="2"/>
      <x:c r="K99" s="2"/>
      <x:c r="L99" s="2"/>
      <x:c r="M99" s="2"/>
      <x:c r="N99" s="2"/>
      <x:c r="O99" s="2"/>
      <x:c r="P99" s="2"/>
      <x:c r="Q99" s="2"/>
      <x:c r="R99" s="2"/>
      <x:c r="S99" s="2"/>
      <x:c r="T99" s="2"/>
      <x:c r="U99" s="2"/>
      <x:c r="V99" s="2"/>
    </x:row>
    <x:row r="100" ht="28" customHeight="1">
      <x:c r="A100" s="38" t="str">
        <x:v>C02-R043</x:v>
      </x:c>
      <x:c r="B100" s="38" t="str">
        <x:v>C02</x:v>
      </x:c>
      <x:c r="C100" s="38" t="str">
        <x:v>交叉口</x:v>
      </x:c>
      <x:c r="D100" s="48" t="n">
        <x:v>116.493968</x:v>
      </x:c>
      <x:c r="E100" s="48" t="n">
        <x:v>39.797716</x:v>
      </x:c>
      <x:c r="F100" s="38" t="str">
        <x:v>是</x:v>
      </x:c>
      <x:c r="G100" s="38" t="str">
        <x:v>OSM</x:v>
      </x:c>
      <x:c r="H100" s="38" t="str">
        <x:v>多路段交汇</x:v>
      </x:c>
      <x:c r="I100" s="2"/>
      <x:c r="J100" s="2"/>
      <x:c r="K100" s="2"/>
      <x:c r="L100" s="2"/>
      <x:c r="M100" s="2"/>
      <x:c r="N100" s="2"/>
      <x:c r="O100" s="2"/>
      <x:c r="P100" s="2"/>
      <x:c r="Q100" s="2"/>
      <x:c r="R100" s="2"/>
      <x:c r="S100" s="2"/>
      <x:c r="T100" s="2"/>
      <x:c r="U100" s="2"/>
      <x:c r="V100" s="2"/>
    </x:row>
    <x:row r="101" ht="28" customHeight="1">
      <x:c r="A101" s="38" t="str">
        <x:v>C02-R044</x:v>
      </x:c>
      <x:c r="B101" s="38" t="str">
        <x:v>C02</x:v>
      </x:c>
      <x:c r="C101" s="38" t="str">
        <x:v>转弯点</x:v>
      </x:c>
      <x:c r="D101" s="48" t="n">
        <x:v>116.492632</x:v>
      </x:c>
      <x:c r="E101" s="48" t="n">
        <x:v>39.797567</x:v>
      </x:c>
      <x:c r="F101" s="38" t="str">
        <x:v>是</x:v>
      </x:c>
      <x:c r="G101" s="38" t="str">
        <x:v>OSM</x:v>
      </x:c>
      <x:c r="H101" s="38" t="str">
        <x:v>路段转弯点</x:v>
      </x:c>
      <x:c r="I101" s="2"/>
      <x:c r="J101" s="2"/>
      <x:c r="K101" s="2"/>
      <x:c r="L101" s="2"/>
      <x:c r="M101" s="2"/>
      <x:c r="N101" s="2"/>
      <x:c r="O101" s="2"/>
      <x:c r="P101" s="2"/>
      <x:c r="Q101" s="2"/>
      <x:c r="R101" s="2"/>
      <x:c r="S101" s="2"/>
      <x:c r="T101" s="2"/>
      <x:c r="U101" s="2"/>
      <x:c r="V101" s="2"/>
    </x:row>
    <x:row r="102" ht="28" customHeight="1">
      <x:c r="A102" s="38" t="str">
        <x:v>C02-R045</x:v>
      </x:c>
      <x:c r="B102" s="38" t="str">
        <x:v>C02</x:v>
      </x:c>
      <x:c r="C102" s="38" t="str">
        <x:v>交叉口</x:v>
      </x:c>
      <x:c r="D102" s="48" t="n">
        <x:v>116.493563</x:v>
      </x:c>
      <x:c r="E102" s="48" t="n">
        <x:v>39.797523</x:v>
      </x:c>
      <x:c r="F102" s="38" t="str">
        <x:v>是</x:v>
      </x:c>
      <x:c r="G102" s="38" t="str">
        <x:v>OSM</x:v>
      </x:c>
      <x:c r="H102" s="38" t="str">
        <x:v>多路段交汇</x:v>
      </x:c>
      <x:c r="I102" s="2"/>
      <x:c r="J102" s="2"/>
      <x:c r="K102" s="2"/>
      <x:c r="L102" s="2"/>
      <x:c r="M102" s="2"/>
      <x:c r="N102" s="2"/>
      <x:c r="O102" s="2"/>
      <x:c r="P102" s="2"/>
      <x:c r="Q102" s="2"/>
      <x:c r="R102" s="2"/>
      <x:c r="S102" s="2"/>
      <x:c r="T102" s="2"/>
      <x:c r="U102" s="2"/>
      <x:c r="V102" s="2"/>
    </x:row>
    <x:row r="103" ht="28" customHeight="1">
      <x:c r="A103" s="38" t="str">
        <x:v>C02-R046</x:v>
      </x:c>
      <x:c r="B103" s="38" t="str">
        <x:v>C02</x:v>
      </x:c>
      <x:c r="C103" s="38" t="str">
        <x:v>转弯点</x:v>
      </x:c>
      <x:c r="D103" s="48" t="n">
        <x:v>116.492755</x:v>
      </x:c>
      <x:c r="E103" s="48" t="n">
        <x:v>39.797392</x:v>
      </x:c>
      <x:c r="F103" s="38" t="str">
        <x:v>是</x:v>
      </x:c>
      <x:c r="G103" s="38" t="str">
        <x:v>OSM</x:v>
      </x:c>
      <x:c r="H103" s="38" t="str">
        <x:v>路段转弯点</x:v>
      </x:c>
      <x:c r="I103" s="2"/>
      <x:c r="J103" s="2"/>
      <x:c r="K103" s="2"/>
      <x:c r="L103" s="2"/>
      <x:c r="M103" s="2"/>
      <x:c r="N103" s="2"/>
      <x:c r="O103" s="2"/>
      <x:c r="P103" s="2"/>
      <x:c r="Q103" s="2"/>
      <x:c r="R103" s="2"/>
      <x:c r="S103" s="2"/>
      <x:c r="T103" s="2"/>
      <x:c r="U103" s="2"/>
      <x:c r="V103" s="2"/>
    </x:row>
    <x:row r="104" ht="28" customHeight="1">
      <x:c r="A104" s="38" t="str">
        <x:v>C02-R047</x:v>
      </x:c>
      <x:c r="B104" s="38" t="str">
        <x:v>C02</x:v>
      </x:c>
      <x:c r="C104" s="38" t="str">
        <x:v>交叉口</x:v>
      </x:c>
      <x:c r="D104" s="48" t="n">
        <x:v>116.497242</x:v>
      </x:c>
      <x:c r="E104" s="48" t="n">
        <x:v>39.797352</x:v>
      </x:c>
      <x:c r="F104" s="38" t="str">
        <x:v>是</x:v>
      </x:c>
      <x:c r="G104" s="38" t="str">
        <x:v>OSM</x:v>
      </x:c>
      <x:c r="H104" s="38" t="str">
        <x:v>多路段交汇</x:v>
      </x:c>
      <x:c r="I104" s="2"/>
      <x:c r="J104" s="2"/>
      <x:c r="K104" s="2"/>
      <x:c r="L104" s="2"/>
      <x:c r="M104" s="2"/>
      <x:c r="N104" s="2"/>
      <x:c r="O104" s="2"/>
      <x:c r="P104" s="2"/>
      <x:c r="Q104" s="2"/>
      <x:c r="R104" s="2"/>
      <x:c r="S104" s="2"/>
      <x:c r="T104" s="2"/>
      <x:c r="U104" s="2"/>
      <x:c r="V104" s="2"/>
    </x:row>
    <x:row r="105" ht="28" customHeight="1">
      <x:c r="A105" s="38" t="str">
        <x:v>C02-R048</x:v>
      </x:c>
      <x:c r="B105" s="38" t="str">
        <x:v>C02</x:v>
      </x:c>
      <x:c r="C105" s="38" t="str">
        <x:v>交叉口</x:v>
      </x:c>
      <x:c r="D105" s="48" t="n">
        <x:v>116.492807</x:v>
      </x:c>
      <x:c r="E105" s="48" t="n">
        <x:v>39.797273</x:v>
      </x:c>
      <x:c r="F105" s="38" t="str">
        <x:v>是</x:v>
      </x:c>
      <x:c r="G105" s="38" t="str">
        <x:v>OSM</x:v>
      </x:c>
      <x:c r="H105" s="38" t="str">
        <x:v>多路段交汇</x:v>
      </x:c>
      <x:c r="I105" s="2"/>
      <x:c r="J105" s="2"/>
      <x:c r="K105" s="2"/>
      <x:c r="L105" s="2"/>
      <x:c r="M105" s="2"/>
      <x:c r="N105" s="2"/>
      <x:c r="O105" s="2"/>
      <x:c r="P105" s="2"/>
      <x:c r="Q105" s="2"/>
      <x:c r="R105" s="2"/>
      <x:c r="S105" s="2"/>
      <x:c r="T105" s="2"/>
      <x:c r="U105" s="2"/>
      <x:c r="V105" s="2"/>
    </x:row>
    <x:row r="106" ht="28" customHeight="1">
      <x:c r="A106" s="38" t="str">
        <x:v>C02-R049</x:v>
      </x:c>
      <x:c r="B106" s="38" t="str">
        <x:v>C02</x:v>
      </x:c>
      <x:c r="C106" s="38" t="str">
        <x:v>转弯点</x:v>
      </x:c>
      <x:c r="D106" s="48" t="n">
        <x:v>116.497036</x:v>
      </x:c>
      <x:c r="E106" s="48" t="n">
        <x:v>39.797251</x:v>
      </x:c>
      <x:c r="F106" s="38" t="str">
        <x:v>是</x:v>
      </x:c>
      <x:c r="G106" s="38" t="str">
        <x:v>OSM</x:v>
      </x:c>
      <x:c r="H106" s="38" t="str">
        <x:v>路段转弯点</x:v>
      </x:c>
      <x:c r="I106" s="2"/>
      <x:c r="J106" s="2"/>
      <x:c r="K106" s="2"/>
      <x:c r="L106" s="2"/>
      <x:c r="M106" s="2"/>
      <x:c r="N106" s="2"/>
      <x:c r="O106" s="2"/>
      <x:c r="P106" s="2"/>
      <x:c r="Q106" s="2"/>
      <x:c r="R106" s="2"/>
      <x:c r="S106" s="2"/>
      <x:c r="T106" s="2"/>
      <x:c r="U106" s="2"/>
      <x:c r="V106" s="2"/>
    </x:row>
    <x:row r="107" ht="28" customHeight="1">
      <x:c r="A107" s="38" t="str">
        <x:v>C02-R050</x:v>
      </x:c>
      <x:c r="B107" s="38" t="str">
        <x:v>C02</x:v>
      </x:c>
      <x:c r="C107" s="38" t="str">
        <x:v>转弯点</x:v>
      </x:c>
      <x:c r="D107" s="48" t="n">
        <x:v>116.492895</x:v>
      </x:c>
      <x:c r="E107" s="48" t="n">
        <x:v>39.797119</x:v>
      </x:c>
      <x:c r="F107" s="38" t="str">
        <x:v>是</x:v>
      </x:c>
      <x:c r="G107" s="38" t="str">
        <x:v>OSM</x:v>
      </x:c>
      <x:c r="H107" s="38" t="str">
        <x:v>路段转弯点</x:v>
      </x:c>
      <x:c r="I107" s="2"/>
      <x:c r="J107" s="2"/>
      <x:c r="K107" s="2"/>
      <x:c r="L107" s="2"/>
      <x:c r="M107" s="2"/>
      <x:c r="N107" s="2"/>
      <x:c r="O107" s="2"/>
      <x:c r="P107" s="2"/>
      <x:c r="Q107" s="2"/>
      <x:c r="R107" s="2"/>
      <x:c r="S107" s="2"/>
      <x:c r="T107" s="2"/>
      <x:c r="U107" s="2"/>
      <x:c r="V107" s="2"/>
    </x:row>
    <x:row r="108" ht="28" customHeight="1">
      <x:c r="A108" s="38" t="str">
        <x:v>C02-R051</x:v>
      </x:c>
      <x:c r="B108" s="38" t="str">
        <x:v>C02</x:v>
      </x:c>
      <x:c r="C108" s="38" t="str">
        <x:v>转弯点</x:v>
      </x:c>
      <x:c r="D108" s="48" t="n">
        <x:v>116.492067</x:v>
      </x:c>
      <x:c r="E108" s="48" t="n">
        <x:v>39.797113</x:v>
      </x:c>
      <x:c r="F108" s="38" t="str">
        <x:v>是</x:v>
      </x:c>
      <x:c r="G108" s="38" t="str">
        <x:v>OSM</x:v>
      </x:c>
      <x:c r="H108" s="38" t="str">
        <x:v>路段转弯点</x:v>
      </x:c>
      <x:c r="I108" s="2"/>
      <x:c r="J108" s="2"/>
      <x:c r="K108" s="2"/>
      <x:c r="L108" s="2"/>
      <x:c r="M108" s="2"/>
      <x:c r="N108" s="2"/>
      <x:c r="O108" s="2"/>
      <x:c r="P108" s="2"/>
      <x:c r="Q108" s="2"/>
      <x:c r="R108" s="2"/>
      <x:c r="S108" s="2"/>
      <x:c r="T108" s="2"/>
      <x:c r="U108" s="2"/>
      <x:c r="V108" s="2"/>
    </x:row>
    <x:row r="109" ht="28" customHeight="1">
      <x:c r="A109" s="38" t="str">
        <x:v>C02-R052</x:v>
      </x:c>
      <x:c r="B109" s="38" t="str">
        <x:v>C02</x:v>
      </x:c>
      <x:c r="C109" s="38" t="str">
        <x:v>转弯点</x:v>
      </x:c>
      <x:c r="D109" s="48" t="n">
        <x:v>116.496703</x:v>
      </x:c>
      <x:c r="E109" s="48" t="n">
        <x:v>39.797088</x:v>
      </x:c>
      <x:c r="F109" s="38" t="str">
        <x:v>是</x:v>
      </x:c>
      <x:c r="G109" s="38" t="str">
        <x:v>OSM</x:v>
      </x:c>
      <x:c r="H109" s="38" t="str">
        <x:v>路段转弯点</x:v>
      </x:c>
      <x:c r="I109" s="2"/>
      <x:c r="J109" s="2"/>
      <x:c r="K109" s="2"/>
      <x:c r="L109" s="2"/>
      <x:c r="M109" s="2"/>
      <x:c r="N109" s="2"/>
      <x:c r="O109" s="2"/>
      <x:c r="P109" s="2"/>
      <x:c r="Q109" s="2"/>
      <x:c r="R109" s="2"/>
      <x:c r="S109" s="2"/>
      <x:c r="T109" s="2"/>
      <x:c r="U109" s="2"/>
      <x:c r="V109" s="2"/>
    </x:row>
    <x:row r="110" ht="28" customHeight="1">
      <x:c r="A110" s="38" t="str">
        <x:v>C02-R053</x:v>
      </x:c>
      <x:c r="B110" s="38" t="str">
        <x:v>C02</x:v>
      </x:c>
      <x:c r="C110" s="38" t="str">
        <x:v>转弯点</x:v>
      </x:c>
      <x:c r="D110" s="48" t="n">
        <x:v>116.491944</x:v>
      </x:c>
      <x:c r="E110" s="48" t="n">
        <x:v>39.79707</x:v>
      </x:c>
      <x:c r="F110" s="38" t="str">
        <x:v>是</x:v>
      </x:c>
      <x:c r="G110" s="38" t="str">
        <x:v>OSM</x:v>
      </x:c>
      <x:c r="H110" s="38" t="str">
        <x:v>路段转弯点</x:v>
      </x:c>
      <x:c r="I110" s="2"/>
      <x:c r="J110" s="2"/>
      <x:c r="K110" s="2"/>
      <x:c r="L110" s="2"/>
      <x:c r="M110" s="2"/>
      <x:c r="N110" s="2"/>
      <x:c r="O110" s="2"/>
      <x:c r="P110" s="2"/>
      <x:c r="Q110" s="2"/>
      <x:c r="R110" s="2"/>
      <x:c r="S110" s="2"/>
      <x:c r="T110" s="2"/>
      <x:c r="U110" s="2"/>
      <x:c r="V110" s="2"/>
    </x:row>
    <x:row r="111" ht="28" customHeight="1">
      <x:c r="A111" s="38" t="str">
        <x:v>C02-R054</x:v>
      </x:c>
      <x:c r="B111" s="38" t="str">
        <x:v>C02</x:v>
      </x:c>
      <x:c r="C111" s="38" t="str">
        <x:v>转弯点</x:v>
      </x:c>
      <x:c r="D111" s="48" t="n">
        <x:v>116.491838</x:v>
      </x:c>
      <x:c r="E111" s="48" t="n">
        <x:v>39.797023</x:v>
      </x:c>
      <x:c r="F111" s="38" t="str">
        <x:v>是</x:v>
      </x:c>
      <x:c r="G111" s="38" t="str">
        <x:v>OSM</x:v>
      </x:c>
      <x:c r="H111" s="38" t="str">
        <x:v>路段转弯点</x:v>
      </x:c>
      <x:c r="I111" s="2"/>
      <x:c r="J111" s="2"/>
      <x:c r="K111" s="2"/>
      <x:c r="L111" s="2"/>
      <x:c r="M111" s="2"/>
      <x:c r="N111" s="2"/>
      <x:c r="O111" s="2"/>
      <x:c r="P111" s="2"/>
      <x:c r="Q111" s="2"/>
      <x:c r="R111" s="2"/>
      <x:c r="S111" s="2"/>
      <x:c r="T111" s="2"/>
      <x:c r="U111" s="2"/>
      <x:c r="V111" s="2"/>
    </x:row>
    <x:row r="112" ht="28" customHeight="1">
      <x:c r="A112" s="38" t="str">
        <x:v>C02-R055</x:v>
      </x:c>
      <x:c r="B112" s="38" t="str">
        <x:v>C02</x:v>
      </x:c>
      <x:c r="C112" s="38" t="str">
        <x:v>转弯点</x:v>
      </x:c>
      <x:c r="D112" s="48" t="n">
        <x:v>116.491769</x:v>
      </x:c>
      <x:c r="E112" s="48" t="n">
        <x:v>39.796945</x:v>
      </x:c>
      <x:c r="F112" s="38" t="str">
        <x:v>是</x:v>
      </x:c>
      <x:c r="G112" s="38" t="str">
        <x:v>OSM</x:v>
      </x:c>
      <x:c r="H112" s="38" t="str">
        <x:v>路段转弯点</x:v>
      </x:c>
      <x:c r="I112" s="2"/>
      <x:c r="J112" s="2"/>
      <x:c r="K112" s="2"/>
      <x:c r="L112" s="2"/>
      <x:c r="M112" s="2"/>
      <x:c r="N112" s="2"/>
      <x:c r="O112" s="2"/>
      <x:c r="P112" s="2"/>
      <x:c r="Q112" s="2"/>
      <x:c r="R112" s="2"/>
      <x:c r="S112" s="2"/>
      <x:c r="T112" s="2"/>
      <x:c r="U112" s="2"/>
      <x:c r="V112" s="2"/>
    </x:row>
    <x:row r="113" ht="28" customHeight="1">
      <x:c r="A113" s="38" t="str">
        <x:v>C02-R056</x:v>
      </x:c>
      <x:c r="B113" s="38" t="str">
        <x:v>C02</x:v>
      </x:c>
      <x:c r="C113" s="38" t="str">
        <x:v>转弯点</x:v>
      </x:c>
      <x:c r="D113" s="48" t="n">
        <x:v>116.496305</x:v>
      </x:c>
      <x:c r="E113" s="48" t="n">
        <x:v>39.796899</x:v>
      </x:c>
      <x:c r="F113" s="38" t="str">
        <x:v>是</x:v>
      </x:c>
      <x:c r="G113" s="38" t="str">
        <x:v>OSM</x:v>
      </x:c>
      <x:c r="H113" s="38" t="str">
        <x:v>路段转弯点</x:v>
      </x:c>
      <x:c r="I113" s="2"/>
      <x:c r="J113" s="2"/>
      <x:c r="K113" s="2"/>
      <x:c r="L113" s="2"/>
      <x:c r="M113" s="2"/>
      <x:c r="N113" s="2"/>
      <x:c r="O113" s="2"/>
      <x:c r="P113" s="2"/>
      <x:c r="Q113" s="2"/>
      <x:c r="R113" s="2"/>
      <x:c r="S113" s="2"/>
      <x:c r="T113" s="2"/>
      <x:c r="U113" s="2"/>
      <x:c r="V113" s="2"/>
    </x:row>
    <x:row r="114" ht="28" customHeight="1">
      <x:c r="A114" s="38" t="str">
        <x:v>C02-R057</x:v>
      </x:c>
      <x:c r="B114" s="38" t="str">
        <x:v>C02</x:v>
      </x:c>
      <x:c r="C114" s="38" t="str">
        <x:v>转弯点</x:v>
      </x:c>
      <x:c r="D114" s="48" t="n">
        <x:v>116.496154</x:v>
      </x:c>
      <x:c r="E114" s="48" t="n">
        <x:v>39.796824</x:v>
      </x:c>
      <x:c r="F114" s="38" t="str">
        <x:v>是</x:v>
      </x:c>
      <x:c r="G114" s="38" t="str">
        <x:v>OSM</x:v>
      </x:c>
      <x:c r="H114" s="38" t="str">
        <x:v>路段转弯点</x:v>
      </x:c>
      <x:c r="I114" s="2"/>
      <x:c r="J114" s="2"/>
      <x:c r="K114" s="2"/>
      <x:c r="L114" s="2"/>
      <x:c r="M114" s="2"/>
      <x:c r="N114" s="2"/>
      <x:c r="O114" s="2"/>
      <x:c r="P114" s="2"/>
      <x:c r="Q114" s="2"/>
      <x:c r="R114" s="2"/>
      <x:c r="S114" s="2"/>
      <x:c r="T114" s="2"/>
      <x:c r="U114" s="2"/>
      <x:c r="V114" s="2"/>
    </x:row>
    <x:row r="115" ht="28" customHeight="1">
      <x:c r="A115" s="38" t="str">
        <x:v>C02-R058</x:v>
      </x:c>
      <x:c r="B115" s="38" t="str">
        <x:v>C02</x:v>
      </x:c>
      <x:c r="C115" s="38" t="str">
        <x:v>转弯点</x:v>
      </x:c>
      <x:c r="D115" s="48" t="n">
        <x:v>116.493114</x:v>
      </x:c>
      <x:c r="E115" s="48" t="n">
        <x:v>39.7968</x:v>
      </x:c>
      <x:c r="F115" s="38" t="str">
        <x:v>是</x:v>
      </x:c>
      <x:c r="G115" s="38" t="str">
        <x:v>OSM</x:v>
      </x:c>
      <x:c r="H115" s="38" t="str">
        <x:v>路段转弯点</x:v>
      </x:c>
      <x:c r="I115" s="2"/>
      <x:c r="J115" s="2"/>
      <x:c r="K115" s="2"/>
      <x:c r="L115" s="2"/>
      <x:c r="M115" s="2"/>
      <x:c r="N115" s="2"/>
      <x:c r="O115" s="2"/>
      <x:c r="P115" s="2"/>
      <x:c r="Q115" s="2"/>
      <x:c r="R115" s="2"/>
      <x:c r="S115" s="2"/>
      <x:c r="T115" s="2"/>
      <x:c r="U115" s="2"/>
      <x:c r="V115" s="2"/>
    </x:row>
    <x:row r="116" ht="28" customHeight="1">
      <x:c r="A116" s="38" t="str">
        <x:v>C02-R059</x:v>
      </x:c>
      <x:c r="B116" s="38" t="str">
        <x:v>C02</x:v>
      </x:c>
      <x:c r="C116" s="38" t="str">
        <x:v>转弯点</x:v>
      </x:c>
      <x:c r="D116" s="48" t="n">
        <x:v>116.491669</x:v>
      </x:c>
      <x:c r="E116" s="48" t="n">
        <x:v>39.796761</x:v>
      </x:c>
      <x:c r="F116" s="38" t="str">
        <x:v>是</x:v>
      </x:c>
      <x:c r="G116" s="38" t="str">
        <x:v>OSM</x:v>
      </x:c>
      <x:c r="H116" s="38" t="str">
        <x:v>路段转弯点</x:v>
      </x:c>
      <x:c r="I116" s="2"/>
      <x:c r="J116" s="2"/>
      <x:c r="K116" s="2"/>
      <x:c r="L116" s="2"/>
      <x:c r="M116" s="2"/>
      <x:c r="N116" s="2"/>
      <x:c r="O116" s="2"/>
      <x:c r="P116" s="2"/>
      <x:c r="Q116" s="2"/>
      <x:c r="R116" s="2"/>
      <x:c r="S116" s="2"/>
      <x:c r="T116" s="2"/>
      <x:c r="U116" s="2"/>
      <x:c r="V116" s="2"/>
    </x:row>
    <x:row r="117" ht="28" customHeight="1">
      <x:c r="A117" s="38" t="str">
        <x:v>C02-R060</x:v>
      </x:c>
      <x:c r="B117" s="38" t="str">
        <x:v>C02</x:v>
      </x:c>
      <x:c r="C117" s="38" t="str">
        <x:v>出入口</x:v>
      </x:c>
      <x:c r="D117" s="48" t="n">
        <x:v>116.494893</x:v>
      </x:c>
      <x:c r="E117" s="48" t="n">
        <x:v>39.796585</x:v>
      </x:c>
      <x:c r="F117" s="38" t="str">
        <x:v>是</x:v>
      </x:c>
      <x:c r="G117" s="38" t="str">
        <x:v>OSM 节点 + 出入口位置推定</x:v>
      </x:c>
      <x:c r="H117" s="38" t="str">
        <x:v>小区出入口（与市政道路衔接点）</x:v>
      </x:c>
      <x:c r="I117" s="2"/>
      <x:c r="J117" s="2"/>
      <x:c r="K117" s="2"/>
      <x:c r="L117" s="2"/>
      <x:c r="M117" s="2"/>
      <x:c r="N117" s="2"/>
      <x:c r="O117" s="2"/>
      <x:c r="P117" s="2"/>
      <x:c r="Q117" s="2"/>
      <x:c r="R117" s="2"/>
      <x:c r="S117" s="2"/>
      <x:c r="T117" s="2"/>
      <x:c r="U117" s="2"/>
      <x:c r="V117" s="2"/>
    </x:row>
    <x:row r="118" ht="28" customHeight="1">
      <x:c r="A118" s="38" t="str">
        <x:v>C02-R061</x:v>
      </x:c>
      <x:c r="B118" s="38" t="str">
        <x:v>C02</x:v>
      </x:c>
      <x:c r="C118" s="38" t="str">
        <x:v>转弯点</x:v>
      </x:c>
      <x:c r="D118" s="48" t="n">
        <x:v>116.493333</x:v>
      </x:c>
      <x:c r="E118" s="48" t="n">
        <x:v>39.796551</x:v>
      </x:c>
      <x:c r="F118" s="38" t="str">
        <x:v>是</x:v>
      </x:c>
      <x:c r="G118" s="38" t="str">
        <x:v>OSM</x:v>
      </x:c>
      <x:c r="H118" s="38" t="str">
        <x:v>路段转弯点</x:v>
      </x:c>
      <x:c r="I118" s="2"/>
      <x:c r="J118" s="2"/>
      <x:c r="K118" s="2"/>
      <x:c r="L118" s="2"/>
      <x:c r="M118" s="2"/>
      <x:c r="N118" s="2"/>
      <x:c r="O118" s="2"/>
      <x:c r="P118" s="2"/>
      <x:c r="Q118" s="2"/>
      <x:c r="R118" s="2"/>
      <x:c r="S118" s="2"/>
      <x:c r="T118" s="2"/>
      <x:c r="U118" s="2"/>
      <x:c r="V118" s="2"/>
    </x:row>
    <x:row r="119" ht="28" customHeight="1">
      <x:c r="A119" s="38" t="str">
        <x:v>C02-R062</x:v>
      </x:c>
      <x:c r="B119" s="38" t="str">
        <x:v>C02</x:v>
      </x:c>
      <x:c r="C119" s="38" t="str">
        <x:v>转弯点</x:v>
      </x:c>
      <x:c r="D119" s="48" t="n">
        <x:v>116.491601</x:v>
      </x:c>
      <x:c r="E119" s="48" t="n">
        <x:v>39.796535</x:v>
      </x:c>
      <x:c r="F119" s="38" t="str">
        <x:v>是</x:v>
      </x:c>
      <x:c r="G119" s="38" t="str">
        <x:v>OSM</x:v>
      </x:c>
      <x:c r="H119" s="38" t="str">
        <x:v>路段转弯点</x:v>
      </x:c>
      <x:c r="I119" s="2"/>
      <x:c r="J119" s="2"/>
      <x:c r="K119" s="2"/>
      <x:c r="L119" s="2"/>
      <x:c r="M119" s="2"/>
      <x:c r="N119" s="2"/>
      <x:c r="O119" s="2"/>
      <x:c r="P119" s="2"/>
      <x:c r="Q119" s="2"/>
      <x:c r="R119" s="2"/>
      <x:c r="S119" s="2"/>
      <x:c r="T119" s="2"/>
      <x:c r="U119" s="2"/>
      <x:c r="V119" s="2"/>
    </x:row>
    <x:row r="120" ht="28" customHeight="1">
      <x:c r="A120" s="38" t="str">
        <x:v>C02-R063</x:v>
      </x:c>
      <x:c r="B120" s="38" t="str">
        <x:v>C02</x:v>
      </x:c>
      <x:c r="C120" s="38" t="str">
        <x:v>转弯点</x:v>
      </x:c>
      <x:c r="D120" s="48" t="n">
        <x:v>116.494858</x:v>
      </x:c>
      <x:c r="E120" s="48" t="n">
        <x:v>39.796449</x:v>
      </x:c>
      <x:c r="F120" s="38" t="str">
        <x:v>是</x:v>
      </x:c>
      <x:c r="G120" s="38" t="str">
        <x:v>OSM</x:v>
      </x:c>
      <x:c r="H120" s="38" t="str">
        <x:v>路段转弯点</x:v>
      </x:c>
      <x:c r="I120" s="2"/>
      <x:c r="J120" s="2"/>
      <x:c r="K120" s="2"/>
      <x:c r="L120" s="2"/>
      <x:c r="M120" s="2"/>
      <x:c r="N120" s="2"/>
      <x:c r="O120" s="2"/>
      <x:c r="P120" s="2"/>
      <x:c r="Q120" s="2"/>
      <x:c r="R120" s="2"/>
      <x:c r="S120" s="2"/>
      <x:c r="T120" s="2"/>
      <x:c r="U120" s="2"/>
      <x:c r="V120" s="2"/>
    </x:row>
    <x:row r="121" ht="28" customHeight="1">
      <x:c r="A121" s="38" t="str">
        <x:v>C02-R064</x:v>
      </x:c>
      <x:c r="B121" s="38" t="str">
        <x:v>C02</x:v>
      </x:c>
      <x:c r="C121" s="38" t="str">
        <x:v>转弯点</x:v>
      </x:c>
      <x:c r="D121" s="48" t="n">
        <x:v>116.493426</x:v>
      </x:c>
      <x:c r="E121" s="48" t="n">
        <x:v>39.796358</x:v>
      </x:c>
      <x:c r="F121" s="38" t="str">
        <x:v>是</x:v>
      </x:c>
      <x:c r="G121" s="38" t="str">
        <x:v>OSM</x:v>
      </x:c>
      <x:c r="H121" s="38" t="str">
        <x:v>路段转弯点</x:v>
      </x:c>
      <x:c r="I121" s="2"/>
      <x:c r="J121" s="2"/>
      <x:c r="K121" s="2"/>
      <x:c r="L121" s="2"/>
      <x:c r="M121" s="2"/>
      <x:c r="N121" s="2"/>
      <x:c r="O121" s="2"/>
      <x:c r="P121" s="2"/>
      <x:c r="Q121" s="2"/>
      <x:c r="R121" s="2"/>
      <x:c r="S121" s="2"/>
      <x:c r="T121" s="2"/>
      <x:c r="U121" s="2"/>
      <x:c r="V121" s="2"/>
    </x:row>
    <x:row r="122" ht="28" customHeight="1">
      <x:c r="A122" s="38" t="str">
        <x:v>C02-R065</x:v>
      </x:c>
      <x:c r="B122" s="38" t="str">
        <x:v>C02</x:v>
      </x:c>
      <x:c r="C122" s="38" t="str">
        <x:v>转弯点</x:v>
      </x:c>
      <x:c r="D122" s="48" t="n">
        <x:v>116.493435</x:v>
      </x:c>
      <x:c r="E122" s="48" t="n">
        <x:v>39.796201</x:v>
      </x:c>
      <x:c r="F122" s="38" t="str">
        <x:v>是</x:v>
      </x:c>
      <x:c r="G122" s="38" t="str">
        <x:v>OSM</x:v>
      </x:c>
      <x:c r="H122" s="38" t="str">
        <x:v>路段转弯点</x:v>
      </x:c>
      <x:c r="I122" s="2"/>
      <x:c r="J122" s="2"/>
      <x:c r="K122" s="2"/>
      <x:c r="L122" s="2"/>
      <x:c r="M122" s="2"/>
      <x:c r="N122" s="2"/>
      <x:c r="O122" s="2"/>
      <x:c r="P122" s="2"/>
      <x:c r="Q122" s="2"/>
      <x:c r="R122" s="2"/>
      <x:c r="S122" s="2"/>
      <x:c r="T122" s="2"/>
      <x:c r="U122" s="2"/>
      <x:c r="V122" s="2"/>
    </x:row>
    <x:row r="123" ht="28" customHeight="1">
      <x:c r="A123" s="38" t="str">
        <x:v>C02-R066</x:v>
      </x:c>
      <x:c r="B123" s="38" t="str">
        <x:v>C02</x:v>
      </x:c>
      <x:c r="C123" s="38" t="str">
        <x:v>转弯点</x:v>
      </x:c>
      <x:c r="D123" s="48" t="n">
        <x:v>116.49342</x:v>
      </x:c>
      <x:c r="E123" s="48" t="n">
        <x:v>39.79615</x:v>
      </x:c>
      <x:c r="F123" s="38" t="str">
        <x:v>是</x:v>
      </x:c>
      <x:c r="G123" s="38" t="str">
        <x:v>OSM</x:v>
      </x:c>
      <x:c r="H123" s="38" t="str">
        <x:v>路段转弯点</x:v>
      </x:c>
      <x:c r="I123" s="2"/>
      <x:c r="J123" s="2"/>
      <x:c r="K123" s="2"/>
      <x:c r="L123" s="2"/>
      <x:c r="M123" s="2"/>
      <x:c r="N123" s="2"/>
      <x:c r="O123" s="2"/>
      <x:c r="P123" s="2"/>
      <x:c r="Q123" s="2"/>
      <x:c r="R123" s="2"/>
      <x:c r="S123" s="2"/>
      <x:c r="T123" s="2"/>
      <x:c r="U123" s="2"/>
      <x:c r="V123" s="2"/>
    </x:row>
    <x:row r="124" ht="28" customHeight="1">
      <x:c r="A124" s="38" t="str">
        <x:v>C02-R067</x:v>
      </x:c>
      <x:c r="B124" s="38" t="str">
        <x:v>C02</x:v>
      </x:c>
      <x:c r="C124" s="38" t="str">
        <x:v>交叉口</x:v>
      </x:c>
      <x:c r="D124" s="48" t="n">
        <x:v>116.494714</x:v>
      </x:c>
      <x:c r="E124" s="48" t="n">
        <x:v>39.796114</x:v>
      </x:c>
      <x:c r="F124" s="38" t="str">
        <x:v>是</x:v>
      </x:c>
      <x:c r="G124" s="38" t="str">
        <x:v>OSM</x:v>
      </x:c>
      <x:c r="H124" s="38" t="str">
        <x:v>多路段交汇</x:v>
      </x:c>
      <x:c r="I124" s="2"/>
      <x:c r="J124" s="2"/>
      <x:c r="K124" s="2"/>
      <x:c r="L124" s="2"/>
      <x:c r="M124" s="2"/>
      <x:c r="N124" s="2"/>
      <x:c r="O124" s="2"/>
      <x:c r="P124" s="2"/>
      <x:c r="Q124" s="2"/>
      <x:c r="R124" s="2"/>
      <x:c r="S124" s="2"/>
      <x:c r="T124" s="2"/>
      <x:c r="U124" s="2"/>
      <x:c r="V124" s="2"/>
    </x:row>
    <x:row r="125" ht="28" customHeight="1">
      <x:c r="A125" s="38" t="str">
        <x:v>C02-R068</x:v>
      </x:c>
      <x:c r="B125" s="38" t="str">
        <x:v>C02</x:v>
      </x:c>
      <x:c r="C125" s="38" t="str">
        <x:v>转弯点</x:v>
      </x:c>
      <x:c r="D125" s="48" t="n">
        <x:v>116.493324</x:v>
      </x:c>
      <x:c r="E125" s="48" t="n">
        <x:v>39.795988</x:v>
      </x:c>
      <x:c r="F125" s="38" t="str">
        <x:v>是</x:v>
      </x:c>
      <x:c r="G125" s="38" t="str">
        <x:v>OSM</x:v>
      </x:c>
      <x:c r="H125" s="38" t="str">
        <x:v>路段转弯点</x:v>
      </x:c>
      <x:c r="I125" s="2"/>
      <x:c r="J125" s="2"/>
      <x:c r="K125" s="2"/>
      <x:c r="L125" s="2"/>
      <x:c r="M125" s="2"/>
      <x:c r="N125" s="2"/>
      <x:c r="O125" s="2"/>
      <x:c r="P125" s="2"/>
      <x:c r="Q125" s="2"/>
      <x:c r="R125" s="2"/>
      <x:c r="S125" s="2"/>
      <x:c r="T125" s="2"/>
      <x:c r="U125" s="2"/>
      <x:c r="V125" s="2"/>
    </x:row>
    <x:row r="126" ht="28" customHeight="1">
      <x:c r="A126" s="38" t="str">
        <x:v>C02-R069</x:v>
      </x:c>
      <x:c r="B126" s="38" t="str">
        <x:v>C02</x:v>
      </x:c>
      <x:c r="C126" s="38" t="str">
        <x:v>转弯点</x:v>
      </x:c>
      <x:c r="D126" s="48" t="n">
        <x:v>116.493216</x:v>
      </x:c>
      <x:c r="E126" s="48" t="n">
        <x:v>39.795769</x:v>
      </x:c>
      <x:c r="F126" s="38" t="str">
        <x:v>是</x:v>
      </x:c>
      <x:c r="G126" s="38" t="str">
        <x:v>OSM</x:v>
      </x:c>
      <x:c r="H126" s="38" t="str">
        <x:v>路段转弯点</x:v>
      </x:c>
      <x:c r="I126" s="2"/>
      <x:c r="J126" s="2"/>
      <x:c r="K126" s="2"/>
      <x:c r="L126" s="2"/>
      <x:c r="M126" s="2"/>
      <x:c r="N126" s="2"/>
      <x:c r="O126" s="2"/>
      <x:c r="P126" s="2"/>
      <x:c r="Q126" s="2"/>
      <x:c r="R126" s="2"/>
      <x:c r="S126" s="2"/>
      <x:c r="T126" s="2"/>
      <x:c r="U126" s="2"/>
      <x:c r="V126" s="2"/>
    </x:row>
    <x:row r="127" ht="28" customHeight="1">
      <x:c r="A127" s="38" t="str">
        <x:v>C02-R070</x:v>
      </x:c>
      <x:c r="B127" s="38" t="str">
        <x:v>C02</x:v>
      </x:c>
      <x:c r="C127" s="38" t="str">
        <x:v>转弯点</x:v>
      </x:c>
      <x:c r="D127" s="48" t="n">
        <x:v>116.493175</x:v>
      </x:c>
      <x:c r="E127" s="48" t="n">
        <x:v>39.795585</x:v>
      </x:c>
      <x:c r="F127" s="38" t="str">
        <x:v>是</x:v>
      </x:c>
      <x:c r="G127" s="38" t="str">
        <x:v>OSM</x:v>
      </x:c>
      <x:c r="H127" s="38" t="str">
        <x:v>路段转弯点</x:v>
      </x:c>
      <x:c r="I127" s="2"/>
      <x:c r="J127" s="2"/>
      <x:c r="K127" s="2"/>
      <x:c r="L127" s="2"/>
      <x:c r="M127" s="2"/>
      <x:c r="N127" s="2"/>
      <x:c r="O127" s="2"/>
      <x:c r="P127" s="2"/>
      <x:c r="Q127" s="2"/>
      <x:c r="R127" s="2"/>
      <x:c r="S127" s="2"/>
      <x:c r="T127" s="2"/>
      <x:c r="U127" s="2"/>
      <x:c r="V127" s="2"/>
    </x:row>
    <x:row r="128" ht="28" customHeight="1">
      <x:c r="A128" s="38" t="str">
        <x:v>C02-R071</x:v>
      </x:c>
      <x:c r="B128" s="38" t="str">
        <x:v>C02</x:v>
      </x:c>
      <x:c r="C128" s="38" t="str">
        <x:v>转弯点</x:v>
      </x:c>
      <x:c r="D128" s="48" t="n">
        <x:v>116.493201</x:v>
      </x:c>
      <x:c r="E128" s="48" t="n">
        <x:v>39.795403</x:v>
      </x:c>
      <x:c r="F128" s="38" t="str">
        <x:v>是</x:v>
      </x:c>
      <x:c r="G128" s="38" t="str">
        <x:v>OSM</x:v>
      </x:c>
      <x:c r="H128" s="38" t="str">
        <x:v>路段转弯点</x:v>
      </x:c>
      <x:c r="I128" s="2"/>
      <x:c r="J128" s="2"/>
      <x:c r="K128" s="2"/>
      <x:c r="L128" s="2"/>
      <x:c r="M128" s="2"/>
      <x:c r="N128" s="2"/>
      <x:c r="O128" s="2"/>
      <x:c r="P128" s="2"/>
      <x:c r="Q128" s="2"/>
      <x:c r="R128" s="2"/>
      <x:c r="S128" s="2"/>
      <x:c r="T128" s="2"/>
      <x:c r="U128" s="2"/>
      <x:c r="V128" s="2"/>
    </x:row>
    <x:row r="129" ht="28" customHeight="1">
      <x:c r="A129" s="38" t="str">
        <x:v>C02-R072</x:v>
      </x:c>
      <x:c r="B129" s="38" t="str">
        <x:v>C02</x:v>
      </x:c>
      <x:c r="C129" s="38" t="str">
        <x:v>转弯点</x:v>
      </x:c>
      <x:c r="D129" s="48" t="n">
        <x:v>116.493333</x:v>
      </x:c>
      <x:c r="E129" s="48" t="n">
        <x:v>39.795112</x:v>
      </x:c>
      <x:c r="F129" s="38" t="str">
        <x:v>是</x:v>
      </x:c>
      <x:c r="G129" s="38" t="str">
        <x:v>OSM</x:v>
      </x:c>
      <x:c r="H129" s="38" t="str">
        <x:v>路段转弯点</x:v>
      </x:c>
      <x:c r="I129" s="2"/>
      <x:c r="J129" s="2"/>
      <x:c r="K129" s="2"/>
      <x:c r="L129" s="2"/>
      <x:c r="M129" s="2"/>
      <x:c r="N129" s="2"/>
      <x:c r="O129" s="2"/>
      <x:c r="P129" s="2"/>
      <x:c r="Q129" s="2"/>
      <x:c r="R129" s="2"/>
      <x:c r="S129" s="2"/>
      <x:c r="T129" s="2"/>
      <x:c r="U129" s="2"/>
      <x:c r="V129" s="2"/>
    </x:row>
    <x:row r="130" ht="28" customHeight="1">
      <x:c r="A130" s="38" t="str">
        <x:v>C02-R073</x:v>
      </x:c>
      <x:c r="B130" s="38" t="str">
        <x:v>C02</x:v>
      </x:c>
      <x:c r="C130" s="38" t="str">
        <x:v>转弯点</x:v>
      </x:c>
      <x:c r="D130" s="48" t="n">
        <x:v>116.493347</x:v>
      </x:c>
      <x:c r="E130" s="48" t="n">
        <x:v>39.794959</x:v>
      </x:c>
      <x:c r="F130" s="38" t="str">
        <x:v>是</x:v>
      </x:c>
      <x:c r="G130" s="38" t="str">
        <x:v>OSM</x:v>
      </x:c>
      <x:c r="H130" s="38" t="str">
        <x:v>路段转弯点</x:v>
      </x:c>
      <x:c r="I130" s="2"/>
      <x:c r="J130" s="2"/>
      <x:c r="K130" s="2"/>
      <x:c r="L130" s="2"/>
      <x:c r="M130" s="2"/>
      <x:c r="N130" s="2"/>
      <x:c r="O130" s="2"/>
      <x:c r="P130" s="2"/>
      <x:c r="Q130" s="2"/>
      <x:c r="R130" s="2"/>
      <x:c r="S130" s="2"/>
      <x:c r="T130" s="2"/>
      <x:c r="U130" s="2"/>
      <x:c r="V130" s="2"/>
    </x:row>
    <x:row r="131" ht="28" customHeight="1">
      <x:c r="A131" s="38" t="str">
        <x:v>C02-R074</x:v>
      </x:c>
      <x:c r="B131" s="38" t="str">
        <x:v>C02</x:v>
      </x:c>
      <x:c r="C131" s="38" t="str">
        <x:v>转弯点</x:v>
      </x:c>
      <x:c r="D131" s="48" t="n">
        <x:v>116.493312</x:v>
      </x:c>
      <x:c r="E131" s="48" t="n">
        <x:v>39.79478</x:v>
      </x:c>
      <x:c r="F131" s="38" t="str">
        <x:v>是</x:v>
      </x:c>
      <x:c r="G131" s="38" t="str">
        <x:v>OSM</x:v>
      </x:c>
      <x:c r="H131" s="38" t="str">
        <x:v>路段转弯点</x:v>
      </x:c>
      <x:c r="I131" s="2"/>
      <x:c r="J131" s="2"/>
      <x:c r="K131" s="2"/>
      <x:c r="L131" s="2"/>
      <x:c r="M131" s="2"/>
      <x:c r="N131" s="2"/>
      <x:c r="O131" s="2"/>
      <x:c r="P131" s="2"/>
      <x:c r="Q131" s="2"/>
      <x:c r="R131" s="2"/>
      <x:c r="S131" s="2"/>
      <x:c r="T131" s="2"/>
      <x:c r="U131" s="2"/>
      <x:c r="V131" s="2"/>
    </x:row>
    <x:row r="132" ht="28" customHeight="1">
      <x:c r="A132" s="38" t="str">
        <x:v>C02-R075</x:v>
      </x:c>
      <x:c r="B132" s="38" t="str">
        <x:v>C02</x:v>
      </x:c>
      <x:c r="C132" s="38" t="str">
        <x:v>楼栋接入点</x:v>
      </x:c>
      <x:c r="D132" s="48" t="n">
        <x:v>116.494664</x:v>
      </x:c>
      <x:c r="E132" s="48" t="n">
        <x:v>39.800017</x:v>
      </x:c>
      <x:c r="F132" s="38" t="str">
        <x:v>是</x:v>
      </x:c>
      <x:c r="G132" s="38" t="str">
        <x:v>推定（按楼栋入口推定）</x:v>
      </x:c>
      <x:c r="H132" s="38" t="str">
        <x:v>楼栋/分区需求点入户接入点，可 15 m 内复用既有路网节点</x:v>
      </x:c>
      <x:c r="I132" s="2"/>
      <x:c r="J132" s="2"/>
      <x:c r="K132" s="2"/>
      <x:c r="L132" s="2"/>
      <x:c r="M132" s="2"/>
      <x:c r="N132" s="2"/>
      <x:c r="O132" s="2"/>
      <x:c r="P132" s="2"/>
      <x:c r="Q132" s="2"/>
      <x:c r="R132" s="2"/>
      <x:c r="S132" s="2"/>
      <x:c r="T132" s="2"/>
      <x:c r="U132" s="2"/>
      <x:c r="V132" s="2"/>
    </x:row>
    <x:row r="133" ht="28" customHeight="1">
      <x:c r="A133" s="38" t="str">
        <x:v>C02-R076</x:v>
      </x:c>
      <x:c r="B133" s="38" t="str">
        <x:v>C02</x:v>
      </x:c>
      <x:c r="C133" s="38" t="str">
        <x:v>楼栋接入点</x:v>
      </x:c>
      <x:c r="D133" s="48" t="n">
        <x:v>116.495008</x:v>
      </x:c>
      <x:c r="E133" s="48" t="n">
        <x:v>39.799677</x:v>
      </x:c>
      <x:c r="F133" s="38" t="str">
        <x:v>是</x:v>
      </x:c>
      <x:c r="G133" s="38" t="str">
        <x:v>推定（按楼栋入口推定）</x:v>
      </x:c>
      <x:c r="H133" s="38" t="str">
        <x:v>楼栋/分区需求点入户接入点，可 15 m 内复用既有路网节点</x:v>
      </x:c>
      <x:c r="I133" s="2"/>
      <x:c r="J133" s="2"/>
      <x:c r="K133" s="2"/>
      <x:c r="L133" s="2"/>
      <x:c r="M133" s="2"/>
      <x:c r="N133" s="2"/>
      <x:c r="O133" s="2"/>
      <x:c r="P133" s="2"/>
      <x:c r="Q133" s="2"/>
      <x:c r="R133" s="2"/>
      <x:c r="S133" s="2"/>
      <x:c r="T133" s="2"/>
      <x:c r="U133" s="2"/>
      <x:c r="V133" s="2"/>
    </x:row>
    <x:row r="134" ht="28" customHeight="1">
      <x:c r="A134" s="38" t="str">
        <x:v>C02-R077</x:v>
      </x:c>
      <x:c r="B134" s="38" t="str">
        <x:v>C02</x:v>
      </x:c>
      <x:c r="C134" s="38" t="str">
        <x:v>楼栋接入点</x:v>
      </x:c>
      <x:c r="D134" s="48" t="n">
        <x:v>116.49416</x:v>
      </x:c>
      <x:c r="E134" s="48" t="n">
        <x:v>39.799908</x:v>
      </x:c>
      <x:c r="F134" s="38" t="str">
        <x:v>是</x:v>
      </x:c>
      <x:c r="G134" s="38" t="str">
        <x:v>推定（按楼栋入口推定）</x:v>
      </x:c>
      <x:c r="H134" s="38" t="str">
        <x:v>楼栋/分区需求点入户接入点，可 15 m 内复用既有路网节点</x:v>
      </x:c>
      <x:c r="I134" s="2"/>
      <x:c r="J134" s="2"/>
      <x:c r="K134" s="2"/>
      <x:c r="L134" s="2"/>
      <x:c r="M134" s="2"/>
      <x:c r="N134" s="2"/>
      <x:c r="O134" s="2"/>
      <x:c r="P134" s="2"/>
      <x:c r="Q134" s="2"/>
      <x:c r="R134" s="2"/>
      <x:c r="S134" s="2"/>
      <x:c r="T134" s="2"/>
      <x:c r="U134" s="2"/>
      <x:c r="V134" s="2"/>
    </x:row>
    <x:row r="135" ht="28" customHeight="1">
      <x:c r="A135" s="38" t="str">
        <x:v>C02-R078</x:v>
      </x:c>
      <x:c r="B135" s="38" t="str">
        <x:v>C02</x:v>
      </x:c>
      <x:c r="C135" s="38" t="str">
        <x:v>楼栋接入点</x:v>
      </x:c>
      <x:c r="D135" s="48" t="n">
        <x:v>116.494376</x:v>
      </x:c>
      <x:c r="E135" s="48" t="n">
        <x:v>39.799549</x:v>
      </x:c>
      <x:c r="F135" s="38" t="str">
        <x:v>是</x:v>
      </x:c>
      <x:c r="G135" s="38" t="str">
        <x:v>推定（按楼栋入口推定）</x:v>
      </x:c>
      <x:c r="H135" s="38" t="str">
        <x:v>楼栋/分区需求点入户接入点，可 15 m 内复用既有路网节点</x:v>
      </x:c>
      <x:c r="I135" s="2"/>
      <x:c r="J135" s="2"/>
      <x:c r="K135" s="2"/>
      <x:c r="L135" s="2"/>
      <x:c r="M135" s="2"/>
      <x:c r="N135" s="2"/>
      <x:c r="O135" s="2"/>
      <x:c r="P135" s="2"/>
      <x:c r="Q135" s="2"/>
      <x:c r="R135" s="2"/>
      <x:c r="S135" s="2"/>
      <x:c r="T135" s="2"/>
      <x:c r="U135" s="2"/>
      <x:c r="V135" s="2"/>
    </x:row>
    <x:row r="136" ht="28" customHeight="1">
      <x:c r="A136" s="38" t="str">
        <x:v>C02-R079</x:v>
      </x:c>
      <x:c r="B136" s="38" t="str">
        <x:v>C02</x:v>
      </x:c>
      <x:c r="C136" s="38" t="str">
        <x:v>楼栋接入点</x:v>
      </x:c>
      <x:c r="D136" s="48" t="n">
        <x:v>116.495246</x:v>
      </x:c>
      <x:c r="E136" s="48" t="n">
        <x:v>39.79931</x:v>
      </x:c>
      <x:c r="F136" s="38" t="str">
        <x:v>是</x:v>
      </x:c>
      <x:c r="G136" s="38" t="str">
        <x:v>推定（按楼栋入口推定）</x:v>
      </x:c>
      <x:c r="H136" s="38" t="str">
        <x:v>楼栋/分区需求点入户接入点，可 15 m 内复用既有路网节点</x:v>
      </x:c>
      <x:c r="I136" s="2"/>
      <x:c r="J136" s="2"/>
      <x:c r="K136" s="2"/>
      <x:c r="L136" s="2"/>
      <x:c r="M136" s="2"/>
      <x:c r="N136" s="2"/>
      <x:c r="O136" s="2"/>
      <x:c r="P136" s="2"/>
      <x:c r="Q136" s="2"/>
      <x:c r="R136" s="2"/>
      <x:c r="S136" s="2"/>
      <x:c r="T136" s="2"/>
      <x:c r="U136" s="2"/>
      <x:c r="V136" s="2"/>
    </x:row>
    <x:row r="137" ht="28" customHeight="1">
      <x:c r="A137" s="38" t="str">
        <x:v>C02-R080</x:v>
      </x:c>
      <x:c r="B137" s="38" t="str">
        <x:v>C02</x:v>
      </x:c>
      <x:c r="C137" s="38" t="str">
        <x:v>楼栋接入点</x:v>
      </x:c>
      <x:c r="D137" s="48" t="n">
        <x:v>116.494569</x:v>
      </x:c>
      <x:c r="E137" s="48" t="n">
        <x:v>39.799255</x:v>
      </x:c>
      <x:c r="F137" s="38" t="str">
        <x:v>是</x:v>
      </x:c>
      <x:c r="G137" s="38" t="str">
        <x:v>推定（按楼栋入口推定）</x:v>
      </x:c>
      <x:c r="H137" s="38" t="str">
        <x:v>楼栋/分区需求点入户接入点，可 15 m 内复用既有路网节点</x:v>
      </x:c>
      <x:c r="I137" s="2"/>
      <x:c r="J137" s="2"/>
      <x:c r="K137" s="2"/>
      <x:c r="L137" s="2"/>
      <x:c r="M137" s="2"/>
      <x:c r="N137" s="2"/>
      <x:c r="O137" s="2"/>
      <x:c r="P137" s="2"/>
      <x:c r="Q137" s="2"/>
      <x:c r="R137" s="2"/>
      <x:c r="S137" s="2"/>
      <x:c r="T137" s="2"/>
      <x:c r="U137" s="2"/>
      <x:c r="V137" s="2"/>
    </x:row>
    <x:row r="138" ht="28" customHeight="1">
      <x:c r="A138" s="38" t="str">
        <x:v>C02-R081</x:v>
      </x:c>
      <x:c r="B138" s="38" t="str">
        <x:v>C02</x:v>
      </x:c>
      <x:c r="C138" s="38" t="str">
        <x:v>楼栋接入点</x:v>
      </x:c>
      <x:c r="D138" s="48" t="n">
        <x:v>116.494962</x:v>
      </x:c>
      <x:c r="E138" s="48" t="n">
        <x:v>39.799123</x:v>
      </x:c>
      <x:c r="F138" s="38" t="str">
        <x:v>是</x:v>
      </x:c>
      <x:c r="G138" s="38" t="str">
        <x:v>推定（按楼栋入口推定）</x:v>
      </x:c>
      <x:c r="H138" s="38" t="str">
        <x:v>楼栋/分区需求点入户接入点，可 15 m 内复用既有路网节点</x:v>
      </x:c>
      <x:c r="I138" s="2"/>
      <x:c r="J138" s="2"/>
      <x:c r="K138" s="2"/>
      <x:c r="L138" s="2"/>
      <x:c r="M138" s="2"/>
      <x:c r="N138" s="2"/>
      <x:c r="O138" s="2"/>
      <x:c r="P138" s="2"/>
      <x:c r="Q138" s="2"/>
      <x:c r="R138" s="2"/>
      <x:c r="S138" s="2"/>
      <x:c r="T138" s="2"/>
      <x:c r="U138" s="2"/>
      <x:c r="V138" s="2"/>
    </x:row>
    <x:row r="139" ht="28" customHeight="1">
      <x:c r="A139" s="38" t="str">
        <x:v>C02-R082</x:v>
      </x:c>
      <x:c r="B139" s="38" t="str">
        <x:v>C02</x:v>
      </x:c>
      <x:c r="C139" s="38" t="str">
        <x:v>楼栋接入点</x:v>
      </x:c>
      <x:c r="D139" s="48" t="n">
        <x:v>116.49346</x:v>
      </x:c>
      <x:c r="E139" s="48" t="n">
        <x:v>39.797886</x:v>
      </x:c>
      <x:c r="F139" s="38" t="str">
        <x:v>是</x:v>
      </x:c>
      <x:c r="G139" s="38" t="str">
        <x:v>推定（按楼栋入口推定）</x:v>
      </x:c>
      <x:c r="H139" s="38" t="str">
        <x:v>楼栋/分区需求点入户接入点，可 15 m 内复用既有路网节点</x:v>
      </x:c>
      <x:c r="I139" s="2"/>
      <x:c r="J139" s="2"/>
      <x:c r="K139" s="2"/>
      <x:c r="L139" s="2"/>
      <x:c r="M139" s="2"/>
      <x:c r="N139" s="2"/>
      <x:c r="O139" s="2"/>
      <x:c r="P139" s="2"/>
      <x:c r="Q139" s="2"/>
      <x:c r="R139" s="2"/>
      <x:c r="S139" s="2"/>
      <x:c r="T139" s="2"/>
      <x:c r="U139" s="2"/>
      <x:c r="V139" s="2"/>
    </x:row>
    <x:row r="140" ht="28" customHeight="1">
      <x:c r="A140" s="38" t="str">
        <x:v>C02-R083</x:v>
      </x:c>
      <x:c r="B140" s="38" t="str">
        <x:v>C02</x:v>
      </x:c>
      <x:c r="C140" s="38" t="str">
        <x:v>楼栋接入点</x:v>
      </x:c>
      <x:c r="D140" s="48" t="n">
        <x:v>116.494912</x:v>
      </x:c>
      <x:c r="E140" s="48" t="n">
        <x:v>39.798536</x:v>
      </x:c>
      <x:c r="F140" s="38" t="str">
        <x:v>是</x:v>
      </x:c>
      <x:c r="G140" s="38" t="str">
        <x:v>推定（按楼栋入口推定）</x:v>
      </x:c>
      <x:c r="H140" s="38" t="str">
        <x:v>楼栋/分区需求点入户接入点，可 15 m 内复用既有路网节点</x:v>
      </x:c>
      <x:c r="I140" s="2"/>
      <x:c r="J140" s="2"/>
      <x:c r="K140" s="2"/>
      <x:c r="L140" s="2"/>
      <x:c r="M140" s="2"/>
      <x:c r="N140" s="2"/>
      <x:c r="O140" s="2"/>
      <x:c r="P140" s="2"/>
      <x:c r="Q140" s="2"/>
      <x:c r="R140" s="2"/>
      <x:c r="S140" s="2"/>
      <x:c r="T140" s="2"/>
      <x:c r="U140" s="2"/>
      <x:c r="V140" s="2"/>
    </x:row>
    <x:row r="141" ht="28" customHeight="1">
      <x:c r="A141" s="38" t="str">
        <x:v>C03-R001</x:v>
      </x:c>
      <x:c r="B141" s="38" t="str">
        <x:v>C03</x:v>
      </x:c>
      <x:c r="C141" s="38" t="str">
        <x:v>交叉口</x:v>
      </x:c>
      <x:c r="D141" s="48" t="n">
        <x:v>116.493614</x:v>
      </x:c>
      <x:c r="E141" s="48" t="n">
        <x:v>39.804556</x:v>
      </x:c>
      <x:c r="F141" s="38" t="str">
        <x:v>是</x:v>
      </x:c>
      <x:c r="G141" s="38" t="str">
        <x:v>OSM</x:v>
      </x:c>
      <x:c r="H141" s="38" t="str">
        <x:v>多路段交汇</x:v>
      </x:c>
      <x:c r="I141" s="2"/>
      <x:c r="J141" s="2"/>
      <x:c r="K141" s="2"/>
      <x:c r="L141" s="2"/>
      <x:c r="M141" s="2"/>
      <x:c r="N141" s="2"/>
      <x:c r="O141" s="2"/>
      <x:c r="P141" s="2"/>
      <x:c r="Q141" s="2"/>
      <x:c r="R141" s="2"/>
      <x:c r="S141" s="2"/>
      <x:c r="T141" s="2"/>
      <x:c r="U141" s="2"/>
      <x:c r="V141" s="2"/>
    </x:row>
    <x:row r="142" ht="28" customHeight="1">
      <x:c r="A142" s="38" t="str">
        <x:v>C03-R002</x:v>
      </x:c>
      <x:c r="B142" s="38" t="str">
        <x:v>C03</x:v>
      </x:c>
      <x:c r="C142" s="38" t="str">
        <x:v>交叉口</x:v>
      </x:c>
      <x:c r="D142" s="48" t="n">
        <x:v>116.493551</x:v>
      </x:c>
      <x:c r="E142" s="48" t="n">
        <x:v>39.804634</x:v>
      </x:c>
      <x:c r="F142" s="38" t="str">
        <x:v>是</x:v>
      </x:c>
      <x:c r="G142" s="38" t="str">
        <x:v>OSM</x:v>
      </x:c>
      <x:c r="H142" s="38" t="str">
        <x:v>多路段交汇</x:v>
      </x:c>
      <x:c r="I142" s="2"/>
      <x:c r="J142" s="2"/>
      <x:c r="K142" s="2"/>
      <x:c r="L142" s="2"/>
      <x:c r="M142" s="2"/>
      <x:c r="N142" s="2"/>
      <x:c r="O142" s="2"/>
      <x:c r="P142" s="2"/>
      <x:c r="Q142" s="2"/>
      <x:c r="R142" s="2"/>
      <x:c r="S142" s="2"/>
      <x:c r="T142" s="2"/>
      <x:c r="U142" s="2"/>
      <x:c r="V142" s="2"/>
    </x:row>
    <x:row r="143" ht="28" customHeight="1">
      <x:c r="A143" s="38" t="str">
        <x:v>C03-R003</x:v>
      </x:c>
      <x:c r="B143" s="38" t="str">
        <x:v>C03</x:v>
      </x:c>
      <x:c r="C143" s="38" t="str">
        <x:v>交叉口</x:v>
      </x:c>
      <x:c r="D143" s="48" t="n">
        <x:v>116.492548</x:v>
      </x:c>
      <x:c r="E143" s="48" t="n">
        <x:v>39.805887</x:v>
      </x:c>
      <x:c r="F143" s="38" t="str">
        <x:v>是</x:v>
      </x:c>
      <x:c r="G143" s="38" t="str">
        <x:v>OSM</x:v>
      </x:c>
      <x:c r="H143" s="38" t="str">
        <x:v>多路段交汇</x:v>
      </x:c>
      <x:c r="I143" s="2"/>
      <x:c r="J143" s="2"/>
      <x:c r="K143" s="2"/>
      <x:c r="L143" s="2"/>
      <x:c r="M143" s="2"/>
      <x:c r="N143" s="2"/>
      <x:c r="O143" s="2"/>
      <x:c r="P143" s="2"/>
      <x:c r="Q143" s="2"/>
      <x:c r="R143" s="2"/>
      <x:c r="S143" s="2"/>
      <x:c r="T143" s="2"/>
      <x:c r="U143" s="2"/>
      <x:c r="V143" s="2"/>
    </x:row>
    <x:row r="144" ht="28" customHeight="1">
      <x:c r="A144" s="38" t="str">
        <x:v>C03-R004</x:v>
      </x:c>
      <x:c r="B144" s="38" t="str">
        <x:v>C03</x:v>
      </x:c>
      <x:c r="C144" s="38" t="str">
        <x:v>交叉口</x:v>
      </x:c>
      <x:c r="D144" s="48" t="n">
        <x:v>116.491705</x:v>
      </x:c>
      <x:c r="E144" s="48" t="n">
        <x:v>39.80694</x:v>
      </x:c>
      <x:c r="F144" s="38" t="str">
        <x:v>是</x:v>
      </x:c>
      <x:c r="G144" s="38" t="str">
        <x:v>OSM</x:v>
      </x:c>
      <x:c r="H144" s="38" t="str">
        <x:v>多路段交汇</x:v>
      </x:c>
      <x:c r="I144" s="2"/>
      <x:c r="J144" s="2"/>
      <x:c r="K144" s="2"/>
      <x:c r="L144" s="2"/>
      <x:c r="M144" s="2"/>
      <x:c r="N144" s="2"/>
      <x:c r="O144" s="2"/>
      <x:c r="P144" s="2"/>
      <x:c r="Q144" s="2"/>
      <x:c r="R144" s="2"/>
      <x:c r="S144" s="2"/>
      <x:c r="T144" s="2"/>
      <x:c r="U144" s="2"/>
      <x:c r="V144" s="2"/>
    </x:row>
    <x:row r="145" ht="28" customHeight="1">
      <x:c r="A145" s="38" t="str">
        <x:v>C03-R005</x:v>
      </x:c>
      <x:c r="B145" s="38" t="str">
        <x:v>C03</x:v>
      </x:c>
      <x:c r="C145" s="38" t="str">
        <x:v>端点</x:v>
      </x:c>
      <x:c r="D145" s="48" t="n">
        <x:v>116.490913</x:v>
      </x:c>
      <x:c r="E145" s="48" t="n">
        <x:v>39.80793</x:v>
      </x:c>
      <x:c r="F145" s="38" t="str">
        <x:v>是</x:v>
      </x:c>
      <x:c r="G145" s="38" t="str">
        <x:v>OSM</x:v>
      </x:c>
      <x:c r="H145" s="38" t="str">
        <x:v>小区出入口（与市政道路衔接点）</x:v>
      </x:c>
      <x:c r="I145" s="2"/>
      <x:c r="J145" s="2"/>
      <x:c r="K145" s="2"/>
      <x:c r="L145" s="2"/>
      <x:c r="M145" s="2"/>
      <x:c r="N145" s="2"/>
      <x:c r="O145" s="2"/>
      <x:c r="P145" s="2"/>
      <x:c r="Q145" s="2"/>
      <x:c r="R145" s="2"/>
      <x:c r="S145" s="2"/>
      <x:c r="T145" s="2"/>
      <x:c r="U145" s="2"/>
      <x:c r="V145" s="2"/>
    </x:row>
    <x:row r="146" ht="28" customHeight="1">
      <x:c r="A146" s="38" t="str">
        <x:v>C03-R006</x:v>
      </x:c>
      <x:c r="B146" s="38" t="str">
        <x:v>C03</x:v>
      </x:c>
      <x:c r="C146" s="38" t="str">
        <x:v>交叉口</x:v>
      </x:c>
      <x:c r="D146" s="48" t="n">
        <x:v>116.49342</x:v>
      </x:c>
      <x:c r="E146" s="48" t="n">
        <x:v>39.804469</x:v>
      </x:c>
      <x:c r="F146" s="38" t="str">
        <x:v>是</x:v>
      </x:c>
      <x:c r="G146" s="38" t="str">
        <x:v>OSM</x:v>
      </x:c>
      <x:c r="H146" s="38" t="str">
        <x:v>多路段交汇</x:v>
      </x:c>
      <x:c r="I146" s="2"/>
      <x:c r="J146" s="2"/>
      <x:c r="K146" s="2"/>
      <x:c r="L146" s="2"/>
      <x:c r="M146" s="2"/>
      <x:c r="N146" s="2"/>
      <x:c r="O146" s="2"/>
      <x:c r="P146" s="2"/>
      <x:c r="Q146" s="2"/>
      <x:c r="R146" s="2"/>
      <x:c r="S146" s="2"/>
      <x:c r="T146" s="2"/>
      <x:c r="U146" s="2"/>
      <x:c r="V146" s="2"/>
    </x:row>
    <x:row r="147" ht="28" customHeight="1">
      <x:c r="A147" s="38" t="str">
        <x:v>C03-R007</x:v>
      </x:c>
      <x:c r="B147" s="38" t="str">
        <x:v>C03</x:v>
      </x:c>
      <x:c r="C147" s="38" t="str">
        <x:v>交叉口</x:v>
      </x:c>
      <x:c r="D147" s="48" t="n">
        <x:v>116.495286</x:v>
      </x:c>
      <x:c r="E147" s="48" t="n">
        <x:v>39.802177</x:v>
      </x:c>
      <x:c r="F147" s="38" t="str">
        <x:v>是</x:v>
      </x:c>
      <x:c r="G147" s="38" t="str">
        <x:v>OSM</x:v>
      </x:c>
      <x:c r="H147" s="38" t="str">
        <x:v>多路段交汇</x:v>
      </x:c>
      <x:c r="I147" s="2"/>
      <x:c r="J147" s="2"/>
      <x:c r="K147" s="2"/>
      <x:c r="L147" s="2"/>
      <x:c r="M147" s="2"/>
      <x:c r="N147" s="2"/>
      <x:c r="O147" s="2"/>
      <x:c r="P147" s="2"/>
      <x:c r="Q147" s="2"/>
      <x:c r="R147" s="2"/>
      <x:c r="S147" s="2"/>
      <x:c r="T147" s="2"/>
      <x:c r="U147" s="2"/>
      <x:c r="V147" s="2"/>
    </x:row>
    <x:row r="148" ht="28" customHeight="1">
      <x:c r="A148" s="38" t="str">
        <x:v>C03-R008</x:v>
      </x:c>
      <x:c r="B148" s="38" t="str">
        <x:v>C03</x:v>
      </x:c>
      <x:c r="C148" s="38" t="str">
        <x:v>交叉口</x:v>
      </x:c>
      <x:c r="D148" s="48" t="n">
        <x:v>116.496023</x:v>
      </x:c>
      <x:c r="E148" s="48" t="n">
        <x:v>39.801273</x:v>
      </x:c>
      <x:c r="F148" s="38" t="str">
        <x:v>是</x:v>
      </x:c>
      <x:c r="G148" s="38" t="str">
        <x:v>OSM</x:v>
      </x:c>
      <x:c r="H148" s="38" t="str">
        <x:v>多路段交汇</x:v>
      </x:c>
      <x:c r="I148" s="2"/>
      <x:c r="J148" s="2"/>
      <x:c r="K148" s="2"/>
      <x:c r="L148" s="2"/>
      <x:c r="M148" s="2"/>
      <x:c r="N148" s="2"/>
      <x:c r="O148" s="2"/>
      <x:c r="P148" s="2"/>
      <x:c r="Q148" s="2"/>
      <x:c r="R148" s="2"/>
      <x:c r="S148" s="2"/>
      <x:c r="T148" s="2"/>
      <x:c r="U148" s="2"/>
      <x:c r="V148" s="2"/>
    </x:row>
    <x:row r="149" ht="28" customHeight="1">
      <x:c r="A149" s="38" t="str">
        <x:v>C03-R009</x:v>
      </x:c>
      <x:c r="B149" s="38" t="str">
        <x:v>C03</x:v>
      </x:c>
      <x:c r="C149" s="38" t="str">
        <x:v>交叉口</x:v>
      </x:c>
      <x:c r="D149" s="48" t="n">
        <x:v>116.49622</x:v>
      </x:c>
      <x:c r="E149" s="48" t="n">
        <x:v>39.801354</x:v>
      </x:c>
      <x:c r="F149" s="38" t="str">
        <x:v>是</x:v>
      </x:c>
      <x:c r="G149" s="38" t="str">
        <x:v>OSM</x:v>
      </x:c>
      <x:c r="H149" s="38" t="str">
        <x:v>多路段交汇</x:v>
      </x:c>
      <x:c r="I149" s="2"/>
      <x:c r="J149" s="2"/>
      <x:c r="K149" s="2"/>
      <x:c r="L149" s="2"/>
      <x:c r="M149" s="2"/>
      <x:c r="N149" s="2"/>
      <x:c r="O149" s="2"/>
      <x:c r="P149" s="2"/>
      <x:c r="Q149" s="2"/>
      <x:c r="R149" s="2"/>
      <x:c r="S149" s="2"/>
      <x:c r="T149" s="2"/>
      <x:c r="U149" s="2"/>
      <x:c r="V149" s="2"/>
    </x:row>
    <x:row r="150" ht="28" customHeight="1">
      <x:c r="A150" s="38" t="str">
        <x:v>C03-R010</x:v>
      </x:c>
      <x:c r="B150" s="38" t="str">
        <x:v>C03</x:v>
      </x:c>
      <x:c r="C150" s="38" t="str">
        <x:v>交叉口</x:v>
      </x:c>
      <x:c r="D150" s="48" t="n">
        <x:v>116.494454</x:v>
      </x:c>
      <x:c r="E150" s="48" t="n">
        <x:v>39.803559</x:v>
      </x:c>
      <x:c r="F150" s="38" t="str">
        <x:v>是</x:v>
      </x:c>
      <x:c r="G150" s="38" t="str">
        <x:v>OSM</x:v>
      </x:c>
      <x:c r="H150" s="38" t="str">
        <x:v>多路段交汇</x:v>
      </x:c>
      <x:c r="I150" s="2"/>
      <x:c r="J150" s="2"/>
      <x:c r="K150" s="2"/>
      <x:c r="L150" s="2"/>
      <x:c r="M150" s="2"/>
      <x:c r="N150" s="2"/>
      <x:c r="O150" s="2"/>
      <x:c r="P150" s="2"/>
      <x:c r="Q150" s="2"/>
      <x:c r="R150" s="2"/>
      <x:c r="S150" s="2"/>
      <x:c r="T150" s="2"/>
      <x:c r="U150" s="2"/>
      <x:c r="V150" s="2"/>
    </x:row>
    <x:row r="151" ht="28" customHeight="1">
      <x:c r="A151" s="38" t="str">
        <x:v>C03-R011</x:v>
      </x:c>
      <x:c r="B151" s="38" t="str">
        <x:v>C03</x:v>
      </x:c>
      <x:c r="C151" s="38" t="str">
        <x:v>交叉口</x:v>
      </x:c>
      <x:c r="D151" s="48" t="n">
        <x:v>116.496266</x:v>
      </x:c>
      <x:c r="E151" s="48" t="n">
        <x:v>39.801302</x:v>
      </x:c>
      <x:c r="F151" s="38" t="str">
        <x:v>是</x:v>
      </x:c>
      <x:c r="G151" s="38" t="str">
        <x:v>OSM</x:v>
      </x:c>
      <x:c r="H151" s="38" t="str">
        <x:v>多路段交汇</x:v>
      </x:c>
      <x:c r="I151" s="2"/>
      <x:c r="J151" s="2"/>
      <x:c r="K151" s="2"/>
      <x:c r="L151" s="2"/>
      <x:c r="M151" s="2"/>
      <x:c r="N151" s="2"/>
      <x:c r="O151" s="2"/>
      <x:c r="P151" s="2"/>
      <x:c r="Q151" s="2"/>
      <x:c r="R151" s="2"/>
      <x:c r="S151" s="2"/>
      <x:c r="T151" s="2"/>
      <x:c r="U151" s="2"/>
      <x:c r="V151" s="2"/>
    </x:row>
    <x:row r="152" ht="28" customHeight="1">
      <x:c r="A152" s="38" t="str">
        <x:v>C03-R012</x:v>
      </x:c>
      <x:c r="B152" s="38" t="str">
        <x:v>C03</x:v>
      </x:c>
      <x:c r="C152" s="38" t="str">
        <x:v>交叉口</x:v>
      </x:c>
      <x:c r="D152" s="48" t="n">
        <x:v>116.496075</x:v>
      </x:c>
      <x:c r="E152" s="48" t="n">
        <x:v>39.801209</x:v>
      </x:c>
      <x:c r="F152" s="38" t="str">
        <x:v>是</x:v>
      </x:c>
      <x:c r="G152" s="38" t="str">
        <x:v>OSM</x:v>
      </x:c>
      <x:c r="H152" s="38" t="str">
        <x:v>多路段交汇</x:v>
      </x:c>
      <x:c r="I152" s="2"/>
      <x:c r="J152" s="2"/>
      <x:c r="K152" s="2"/>
      <x:c r="L152" s="2"/>
      <x:c r="M152" s="2"/>
      <x:c r="N152" s="2"/>
      <x:c r="O152" s="2"/>
      <x:c r="P152" s="2"/>
      <x:c r="Q152" s="2"/>
      <x:c r="R152" s="2"/>
      <x:c r="S152" s="2"/>
      <x:c r="T152" s="2"/>
      <x:c r="U152" s="2"/>
      <x:c r="V152" s="2"/>
    </x:row>
    <x:row r="153" ht="28" customHeight="1">
      <x:c r="A153" s="38" t="str">
        <x:v>C03-R013</x:v>
      </x:c>
      <x:c r="B153" s="38" t="str">
        <x:v>C03</x:v>
      </x:c>
      <x:c r="C153" s="38" t="str">
        <x:v>交叉口</x:v>
      </x:c>
      <x:c r="D153" s="48" t="n">
        <x:v>116.497676</x:v>
      </x:c>
      <x:c r="E153" s="48" t="n">
        <x:v>39.801989</x:v>
      </x:c>
      <x:c r="F153" s="38" t="str">
        <x:v>是</x:v>
      </x:c>
      <x:c r="G153" s="38" t="str">
        <x:v>OSM</x:v>
      </x:c>
      <x:c r="H153" s="38" t="str">
        <x:v>多路段交汇</x:v>
      </x:c>
      <x:c r="I153" s="2"/>
      <x:c r="J153" s="2"/>
      <x:c r="K153" s="2"/>
      <x:c r="L153" s="2"/>
      <x:c r="M153" s="2"/>
      <x:c r="N153" s="2"/>
      <x:c r="O153" s="2"/>
      <x:c r="P153" s="2"/>
      <x:c r="Q153" s="2"/>
      <x:c r="R153" s="2"/>
      <x:c r="S153" s="2"/>
      <x:c r="T153" s="2"/>
      <x:c r="U153" s="2"/>
      <x:c r="V153" s="2"/>
    </x:row>
    <x:row r="154" ht="28" customHeight="1">
      <x:c r="A154" s="38" t="str">
        <x:v>C03-R014</x:v>
      </x:c>
      <x:c r="B154" s="38" t="str">
        <x:v>C03</x:v>
      </x:c>
      <x:c r="C154" s="38" t="str">
        <x:v>转弯点</x:v>
      </x:c>
      <x:c r="D154" s="48" t="n">
        <x:v>116.498048</x:v>
      </x:c>
      <x:c r="E154" s="48" t="n">
        <x:v>39.802176</x:v>
      </x:c>
      <x:c r="F154" s="38" t="str">
        <x:v>是</x:v>
      </x:c>
      <x:c r="G154" s="38" t="str">
        <x:v>OSM</x:v>
      </x:c>
      <x:c r="H154" s="38" t="str">
        <x:v>路段转弯点</x:v>
      </x:c>
      <x:c r="I154" s="2"/>
      <x:c r="J154" s="2"/>
      <x:c r="K154" s="2"/>
      <x:c r="L154" s="2"/>
      <x:c r="M154" s="2"/>
      <x:c r="N154" s="2"/>
      <x:c r="O154" s="2"/>
      <x:c r="P154" s="2"/>
      <x:c r="Q154" s="2"/>
      <x:c r="R154" s="2"/>
      <x:c r="S154" s="2"/>
      <x:c r="T154" s="2"/>
      <x:c r="U154" s="2"/>
      <x:c r="V154" s="2"/>
    </x:row>
    <x:row r="155" ht="28" customHeight="1">
      <x:c r="A155" s="38" t="str">
        <x:v>C03-R015</x:v>
      </x:c>
      <x:c r="B155" s="38" t="str">
        <x:v>C03</x:v>
      </x:c>
      <x:c r="C155" s="38" t="str">
        <x:v>转弯点</x:v>
      </x:c>
      <x:c r="D155" s="48" t="n">
        <x:v>116.498309</x:v>
      </x:c>
      <x:c r="E155" s="48" t="n">
        <x:v>39.80231</x:v>
      </x:c>
      <x:c r="F155" s="38" t="str">
        <x:v>是</x:v>
      </x:c>
      <x:c r="G155" s="38" t="str">
        <x:v>OSM</x:v>
      </x:c>
      <x:c r="H155" s="38" t="str">
        <x:v>路段转弯点</x:v>
      </x:c>
      <x:c r="I155" s="2"/>
      <x:c r="J155" s="2"/>
      <x:c r="K155" s="2"/>
      <x:c r="L155" s="2"/>
      <x:c r="M155" s="2"/>
      <x:c r="N155" s="2"/>
      <x:c r="O155" s="2"/>
      <x:c r="P155" s="2"/>
      <x:c r="Q155" s="2"/>
      <x:c r="R155" s="2"/>
      <x:c r="S155" s="2"/>
      <x:c r="T155" s="2"/>
      <x:c r="U155" s="2"/>
      <x:c r="V155" s="2"/>
    </x:row>
    <x:row r="156" ht="28" customHeight="1">
      <x:c r="A156" s="38" t="str">
        <x:v>C03-R016</x:v>
      </x:c>
      <x:c r="B156" s="38" t="str">
        <x:v>C03</x:v>
      </x:c>
      <x:c r="C156" s="38" t="str">
        <x:v>交叉口</x:v>
      </x:c>
      <x:c r="D156" s="48" t="n">
        <x:v>116.499127</x:v>
      </x:c>
      <x:c r="E156" s="48" t="n">
        <x:v>39.802728</x:v>
      </x:c>
      <x:c r="F156" s="38" t="str">
        <x:v>是</x:v>
      </x:c>
      <x:c r="G156" s="38" t="str">
        <x:v>OSM</x:v>
      </x:c>
      <x:c r="H156" s="38" t="str">
        <x:v>多路段交汇</x:v>
      </x:c>
      <x:c r="I156" s="2"/>
      <x:c r="J156" s="2"/>
      <x:c r="K156" s="2"/>
      <x:c r="L156" s="2"/>
      <x:c r="M156" s="2"/>
      <x:c r="N156" s="2"/>
      <x:c r="O156" s="2"/>
      <x:c r="P156" s="2"/>
      <x:c r="Q156" s="2"/>
      <x:c r="R156" s="2"/>
      <x:c r="S156" s="2"/>
      <x:c r="T156" s="2"/>
      <x:c r="U156" s="2"/>
      <x:c r="V156" s="2"/>
    </x:row>
    <x:row r="157" ht="28" customHeight="1">
      <x:c r="A157" s="38" t="str">
        <x:v>C03-R017</x:v>
      </x:c>
      <x:c r="B157" s="38" t="str">
        <x:v>C03</x:v>
      </x:c>
      <x:c r="C157" s="38" t="str">
        <x:v>交叉口</x:v>
      </x:c>
      <x:c r="D157" s="48" t="n">
        <x:v>116.496408</x:v>
      </x:c>
      <x:c r="E157" s="48" t="n">
        <x:v>39.80137</x:v>
      </x:c>
      <x:c r="F157" s="38" t="str">
        <x:v>是</x:v>
      </x:c>
      <x:c r="G157" s="38" t="str">
        <x:v>OSM</x:v>
      </x:c>
      <x:c r="H157" s="38" t="str">
        <x:v>多路段交汇</x:v>
      </x:c>
      <x:c r="I157" s="2"/>
      <x:c r="J157" s="2"/>
      <x:c r="K157" s="2"/>
      <x:c r="L157" s="2"/>
      <x:c r="M157" s="2"/>
      <x:c r="N157" s="2"/>
      <x:c r="O157" s="2"/>
      <x:c r="P157" s="2"/>
      <x:c r="Q157" s="2"/>
      <x:c r="R157" s="2"/>
      <x:c r="S157" s="2"/>
      <x:c r="T157" s="2"/>
      <x:c r="U157" s="2"/>
      <x:c r="V157" s="2"/>
    </x:row>
    <x:row r="158" ht="28" customHeight="1">
      <x:c r="A158" s="38" t="str">
        <x:v>C03-R018</x:v>
      </x:c>
      <x:c r="B158" s="38" t="str">
        <x:v>C03</x:v>
      </x:c>
      <x:c r="C158" s="38" t="str">
        <x:v>转弯点</x:v>
      </x:c>
      <x:c r="D158" s="48" t="n">
        <x:v>116.496946</x:v>
      </x:c>
      <x:c r="E158" s="48" t="n">
        <x:v>39.801629</x:v>
      </x:c>
      <x:c r="F158" s="38" t="str">
        <x:v>是</x:v>
      </x:c>
      <x:c r="G158" s="38" t="str">
        <x:v>OSM</x:v>
      </x:c>
      <x:c r="H158" s="38" t="str">
        <x:v>路段转弯点</x:v>
      </x:c>
      <x:c r="I158" s="2"/>
      <x:c r="J158" s="2"/>
      <x:c r="K158" s="2"/>
      <x:c r="L158" s="2"/>
      <x:c r="M158" s="2"/>
      <x:c r="N158" s="2"/>
      <x:c r="O158" s="2"/>
      <x:c r="P158" s="2"/>
      <x:c r="Q158" s="2"/>
      <x:c r="R158" s="2"/>
      <x:c r="S158" s="2"/>
      <x:c r="T158" s="2"/>
      <x:c r="U158" s="2"/>
      <x:c r="V158" s="2"/>
    </x:row>
    <x:row r="159" ht="28" customHeight="1">
      <x:c r="A159" s="38" t="str">
        <x:v>C03-R019</x:v>
      </x:c>
      <x:c r="B159" s="38" t="str">
        <x:v>C03</x:v>
      </x:c>
      <x:c r="C159" s="38" t="str">
        <x:v>交叉口</x:v>
      </x:c>
      <x:c r="D159" s="48" t="n">
        <x:v>116.492657</x:v>
      </x:c>
      <x:c r="E159" s="48" t="n">
        <x:v>39.798631</x:v>
      </x:c>
      <x:c r="F159" s="38" t="str">
        <x:v>是</x:v>
      </x:c>
      <x:c r="G159" s="38" t="str">
        <x:v>OSM</x:v>
      </x:c>
      <x:c r="H159" s="38" t="str">
        <x:v>多路段交汇</x:v>
      </x:c>
      <x:c r="I159" s="2"/>
      <x:c r="J159" s="2"/>
      <x:c r="K159" s="2"/>
      <x:c r="L159" s="2"/>
      <x:c r="M159" s="2"/>
      <x:c r="N159" s="2"/>
      <x:c r="O159" s="2"/>
      <x:c r="P159" s="2"/>
      <x:c r="Q159" s="2"/>
      <x:c r="R159" s="2"/>
      <x:c r="S159" s="2"/>
      <x:c r="T159" s="2"/>
      <x:c r="U159" s="2"/>
      <x:c r="V159" s="2"/>
    </x:row>
    <x:row r="160" ht="28" customHeight="1">
      <x:c r="A160" s="38" t="str">
        <x:v>C03-R020</x:v>
      </x:c>
      <x:c r="B160" s="38" t="str">
        <x:v>C03</x:v>
      </x:c>
      <x:c r="C160" s="38" t="str">
        <x:v>转弯点</x:v>
      </x:c>
      <x:c r="D160" s="48" t="n">
        <x:v>116.492931</x:v>
      </x:c>
      <x:c r="E160" s="48" t="n">
        <x:v>39.798297</x:v>
      </x:c>
      <x:c r="F160" s="38" t="str">
        <x:v>是</x:v>
      </x:c>
      <x:c r="G160" s="38" t="str">
        <x:v>OSM</x:v>
      </x:c>
      <x:c r="H160" s="38" t="str">
        <x:v>路段转弯点</x:v>
      </x:c>
      <x:c r="I160" s="2"/>
      <x:c r="J160" s="2"/>
      <x:c r="K160" s="2"/>
      <x:c r="L160" s="2"/>
      <x:c r="M160" s="2"/>
      <x:c r="N160" s="2"/>
      <x:c r="O160" s="2"/>
      <x:c r="P160" s="2"/>
      <x:c r="Q160" s="2"/>
      <x:c r="R160" s="2"/>
      <x:c r="S160" s="2"/>
      <x:c r="T160" s="2"/>
      <x:c r="U160" s="2"/>
      <x:c r="V160" s="2"/>
    </x:row>
    <x:row r="161" ht="28" customHeight="1">
      <x:c r="A161" s="38" t="str">
        <x:v>C03-R021</x:v>
      </x:c>
      <x:c r="B161" s="38" t="str">
        <x:v>C03</x:v>
      </x:c>
      <x:c r="C161" s="38" t="str">
        <x:v>转弯点</x:v>
      </x:c>
      <x:c r="D161" s="48" t="n">
        <x:v>116.493005</x:v>
      </x:c>
      <x:c r="E161" s="48" t="n">
        <x:v>39.798206</x:v>
      </x:c>
      <x:c r="F161" s="38" t="str">
        <x:v>是</x:v>
      </x:c>
      <x:c r="G161" s="38" t="str">
        <x:v>OSM</x:v>
      </x:c>
      <x:c r="H161" s="38" t="str">
        <x:v>路段转弯点</x:v>
      </x:c>
      <x:c r="I161" s="2"/>
      <x:c r="J161" s="2"/>
      <x:c r="K161" s="2"/>
      <x:c r="L161" s="2"/>
      <x:c r="M161" s="2"/>
      <x:c r="N161" s="2"/>
      <x:c r="O161" s="2"/>
      <x:c r="P161" s="2"/>
      <x:c r="Q161" s="2"/>
      <x:c r="R161" s="2"/>
      <x:c r="S161" s="2"/>
      <x:c r="T161" s="2"/>
      <x:c r="U161" s="2"/>
      <x:c r="V161" s="2"/>
    </x:row>
    <x:row r="162" ht="28" customHeight="1">
      <x:c r="A162" s="38" t="str">
        <x:v>C03-R022</x:v>
      </x:c>
      <x:c r="B162" s="38" t="str">
        <x:v>C03</x:v>
      </x:c>
      <x:c r="C162" s="38" t="str">
        <x:v>转弯点</x:v>
      </x:c>
      <x:c r="D162" s="48" t="n">
        <x:v>116.493194</x:v>
      </x:c>
      <x:c r="E162" s="48" t="n">
        <x:v>39.797974</x:v>
      </x:c>
      <x:c r="F162" s="38" t="str">
        <x:v>是</x:v>
      </x:c>
      <x:c r="G162" s="38" t="str">
        <x:v>OSM</x:v>
      </x:c>
      <x:c r="H162" s="38" t="str">
        <x:v>路段转弯点</x:v>
      </x:c>
      <x:c r="I162" s="2"/>
      <x:c r="J162" s="2"/>
      <x:c r="K162" s="2"/>
      <x:c r="L162" s="2"/>
      <x:c r="M162" s="2"/>
      <x:c r="N162" s="2"/>
      <x:c r="O162" s="2"/>
      <x:c r="P162" s="2"/>
      <x:c r="Q162" s="2"/>
      <x:c r="R162" s="2"/>
      <x:c r="S162" s="2"/>
      <x:c r="T162" s="2"/>
      <x:c r="U162" s="2"/>
      <x:c r="V162" s="2"/>
    </x:row>
    <x:row r="163" ht="28" customHeight="1">
      <x:c r="A163" s="38" t="str">
        <x:v>C03-R023</x:v>
      </x:c>
      <x:c r="B163" s="38" t="str">
        <x:v>C03</x:v>
      </x:c>
      <x:c r="C163" s="38" t="str">
        <x:v>转弯点</x:v>
      </x:c>
      <x:c r="D163" s="48" t="n">
        <x:v>116.493384</x:v>
      </x:c>
      <x:c r="E163" s="48" t="n">
        <x:v>39.797742</x:v>
      </x:c>
      <x:c r="F163" s="38" t="str">
        <x:v>是</x:v>
      </x:c>
      <x:c r="G163" s="38" t="str">
        <x:v>OSM</x:v>
      </x:c>
      <x:c r="H163" s="38" t="str">
        <x:v>路段转弯点</x:v>
      </x:c>
      <x:c r="I163" s="2"/>
      <x:c r="J163" s="2"/>
      <x:c r="K163" s="2"/>
      <x:c r="L163" s="2"/>
      <x:c r="M163" s="2"/>
      <x:c r="N163" s="2"/>
      <x:c r="O163" s="2"/>
      <x:c r="P163" s="2"/>
      <x:c r="Q163" s="2"/>
      <x:c r="R163" s="2"/>
      <x:c r="S163" s="2"/>
      <x:c r="T163" s="2"/>
      <x:c r="U163" s="2"/>
      <x:c r="V163" s="2"/>
    </x:row>
    <x:row r="164" ht="28" customHeight="1">
      <x:c r="A164" s="38" t="str">
        <x:v>C03-R024</x:v>
      </x:c>
      <x:c r="B164" s="38" t="str">
        <x:v>C03</x:v>
      </x:c>
      <x:c r="C164" s="38" t="str">
        <x:v>转弯点</x:v>
      </x:c>
      <x:c r="D164" s="48" t="n">
        <x:v>116.493563</x:v>
      </x:c>
      <x:c r="E164" s="48" t="n">
        <x:v>39.797523</x:v>
      </x:c>
      <x:c r="F164" s="38" t="str">
        <x:v>是</x:v>
      </x:c>
      <x:c r="G164" s="38" t="str">
        <x:v>OSM</x:v>
      </x:c>
      <x:c r="H164" s="38" t="str">
        <x:v>路段转弯点</x:v>
      </x:c>
      <x:c r="I164" s="2"/>
      <x:c r="J164" s="2"/>
      <x:c r="K164" s="2"/>
      <x:c r="L164" s="2"/>
      <x:c r="M164" s="2"/>
      <x:c r="N164" s="2"/>
      <x:c r="O164" s="2"/>
      <x:c r="P164" s="2"/>
      <x:c r="Q164" s="2"/>
      <x:c r="R164" s="2"/>
      <x:c r="S164" s="2"/>
      <x:c r="T164" s="2"/>
      <x:c r="U164" s="2"/>
      <x:c r="V164" s="2"/>
    </x:row>
    <x:row r="165" ht="28" customHeight="1">
      <x:c r="A165" s="38" t="str">
        <x:v>C03-R025</x:v>
      </x:c>
      <x:c r="B165" s="38" t="str">
        <x:v>C03</x:v>
      </x:c>
      <x:c r="C165" s="38" t="str">
        <x:v>端点</x:v>
      </x:c>
      <x:c r="D165" s="48" t="n">
        <x:v>116.494714</x:v>
      </x:c>
      <x:c r="E165" s="48" t="n">
        <x:v>39.796114</x:v>
      </x:c>
      <x:c r="F165" s="38" t="str">
        <x:v>是</x:v>
      </x:c>
      <x:c r="G165" s="38" t="str">
        <x:v>OSM</x:v>
      </x:c>
      <x:c r="H165" s="38" t="str">
        <x:v>小区出入口（与市政道路衔接点）</x:v>
      </x:c>
      <x:c r="I165" s="2"/>
      <x:c r="J165" s="2"/>
      <x:c r="K165" s="2"/>
      <x:c r="L165" s="2"/>
      <x:c r="M165" s="2"/>
      <x:c r="N165" s="2"/>
      <x:c r="O165" s="2"/>
      <x:c r="P165" s="2"/>
      <x:c r="Q165" s="2"/>
      <x:c r="R165" s="2"/>
      <x:c r="S165" s="2"/>
      <x:c r="T165" s="2"/>
      <x:c r="U165" s="2"/>
      <x:c r="V165" s="2"/>
    </x:row>
    <x:row r="166" ht="28" customHeight="1">
      <x:c r="A166" s="38" t="str">
        <x:v>C03-R026</x:v>
      </x:c>
      <x:c r="B166" s="38" t="str">
        <x:v>C03</x:v>
      </x:c>
      <x:c r="C166" s="38" t="str">
        <x:v>交叉口</x:v>
      </x:c>
      <x:c r="D166" s="48" t="n">
        <x:v>116.491551</x:v>
      </x:c>
      <x:c r="E166" s="48" t="n">
        <x:v>39.800013</x:v>
      </x:c>
      <x:c r="F166" s="38" t="str">
        <x:v>是</x:v>
      </x:c>
      <x:c r="G166" s="38" t="str">
        <x:v>OSM</x:v>
      </x:c>
      <x:c r="H166" s="38" t="str">
        <x:v>多路段交汇</x:v>
      </x:c>
      <x:c r="I166" s="2"/>
      <x:c r="J166" s="2"/>
      <x:c r="K166" s="2"/>
      <x:c r="L166" s="2"/>
      <x:c r="M166" s="2"/>
      <x:c r="N166" s="2"/>
      <x:c r="O166" s="2"/>
      <x:c r="P166" s="2"/>
      <x:c r="Q166" s="2"/>
      <x:c r="R166" s="2"/>
      <x:c r="S166" s="2"/>
      <x:c r="T166" s="2"/>
      <x:c r="U166" s="2"/>
      <x:c r="V166" s="2"/>
    </x:row>
    <x:row r="167" ht="28" customHeight="1">
      <x:c r="A167" s="38" t="str">
        <x:v>C03-R027</x:v>
      </x:c>
      <x:c r="B167" s="38" t="str">
        <x:v>C03</x:v>
      </x:c>
      <x:c r="C167" s="38" t="str">
        <x:v>转弯点</x:v>
      </x:c>
      <x:c r="D167" s="48" t="n">
        <x:v>116.490194</x:v>
      </x:c>
      <x:c r="E167" s="48" t="n">
        <x:v>39.801638</x:v>
      </x:c>
      <x:c r="F167" s="38" t="str">
        <x:v>是</x:v>
      </x:c>
      <x:c r="G167" s="38" t="str">
        <x:v>OSM</x:v>
      </x:c>
      <x:c r="H167" s="38" t="str">
        <x:v>路段转弯点</x:v>
      </x:c>
      <x:c r="I167" s="2"/>
      <x:c r="J167" s="2"/>
      <x:c r="K167" s="2"/>
      <x:c r="L167" s="2"/>
      <x:c r="M167" s="2"/>
      <x:c r="N167" s="2"/>
      <x:c r="O167" s="2"/>
      <x:c r="P167" s="2"/>
      <x:c r="Q167" s="2"/>
      <x:c r="R167" s="2"/>
      <x:c r="S167" s="2"/>
      <x:c r="T167" s="2"/>
      <x:c r="U167" s="2"/>
      <x:c r="V167" s="2"/>
    </x:row>
    <x:row r="168" ht="28" customHeight="1">
      <x:c r="A168" s="38" t="str">
        <x:v>C03-R028</x:v>
      </x:c>
      <x:c r="B168" s="38" t="str">
        <x:v>C03</x:v>
      </x:c>
      <x:c r="C168" s="38" t="str">
        <x:v>转弯点</x:v>
      </x:c>
      <x:c r="D168" s="48" t="n">
        <x:v>116.490119</x:v>
      </x:c>
      <x:c r="E168" s="48" t="n">
        <x:v>39.801729</x:v>
      </x:c>
      <x:c r="F168" s="38" t="str">
        <x:v>是</x:v>
      </x:c>
      <x:c r="G168" s="38" t="str">
        <x:v>OSM</x:v>
      </x:c>
      <x:c r="H168" s="38" t="str">
        <x:v>路段转弯点</x:v>
      </x:c>
      <x:c r="I168" s="2"/>
      <x:c r="J168" s="2"/>
      <x:c r="K168" s="2"/>
      <x:c r="L168" s="2"/>
      <x:c r="M168" s="2"/>
      <x:c r="N168" s="2"/>
      <x:c r="O168" s="2"/>
      <x:c r="P168" s="2"/>
      <x:c r="Q168" s="2"/>
      <x:c r="R168" s="2"/>
      <x:c r="S168" s="2"/>
      <x:c r="T168" s="2"/>
      <x:c r="U168" s="2"/>
      <x:c r="V168" s="2"/>
    </x:row>
    <x:row r="169" ht="28" customHeight="1">
      <x:c r="A169" s="38" t="str">
        <x:v>C03-R029</x:v>
      </x:c>
      <x:c r="B169" s="38" t="str">
        <x:v>C03</x:v>
      </x:c>
      <x:c r="C169" s="38" t="str">
        <x:v>交叉口</x:v>
      </x:c>
      <x:c r="D169" s="48" t="n">
        <x:v>116.489357</x:v>
      </x:c>
      <x:c r="E169" s="48" t="n">
        <x:v>39.802663</x:v>
      </x:c>
      <x:c r="F169" s="38" t="str">
        <x:v>是</x:v>
      </x:c>
      <x:c r="G169" s="38" t="str">
        <x:v>OSM</x:v>
      </x:c>
      <x:c r="H169" s="38" t="str">
        <x:v>多路段交汇</x:v>
      </x:c>
      <x:c r="I169" s="2"/>
      <x:c r="J169" s="2"/>
      <x:c r="K169" s="2"/>
      <x:c r="L169" s="2"/>
      <x:c r="M169" s="2"/>
      <x:c r="N169" s="2"/>
      <x:c r="O169" s="2"/>
      <x:c r="P169" s="2"/>
      <x:c r="Q169" s="2"/>
      <x:c r="R169" s="2"/>
      <x:c r="S169" s="2"/>
      <x:c r="T169" s="2"/>
      <x:c r="U169" s="2"/>
      <x:c r="V169" s="2"/>
    </x:row>
    <x:row r="170" ht="28" customHeight="1">
      <x:c r="A170" s="38" t="str">
        <x:v>C03-R030</x:v>
      </x:c>
      <x:c r="B170" s="38" t="str">
        <x:v>C03</x:v>
      </x:c>
      <x:c r="C170" s="38" t="str">
        <x:v>转弯点</x:v>
      </x:c>
      <x:c r="D170" s="48" t="n">
        <x:v>116.491645</x:v>
      </x:c>
      <x:c r="E170" s="48" t="n">
        <x:v>39.799824</x:v>
      </x:c>
      <x:c r="F170" s="38" t="str">
        <x:v>是</x:v>
      </x:c>
      <x:c r="G170" s="38" t="str">
        <x:v>OSM</x:v>
      </x:c>
      <x:c r="H170" s="38" t="str">
        <x:v>路段转弯点</x:v>
      </x:c>
      <x:c r="I170" s="2"/>
      <x:c r="J170" s="2"/>
      <x:c r="K170" s="2"/>
      <x:c r="L170" s="2"/>
      <x:c r="M170" s="2"/>
      <x:c r="N170" s="2"/>
      <x:c r="O170" s="2"/>
      <x:c r="P170" s="2"/>
      <x:c r="Q170" s="2"/>
      <x:c r="R170" s="2"/>
      <x:c r="S170" s="2"/>
      <x:c r="T170" s="2"/>
      <x:c r="U170" s="2"/>
      <x:c r="V170" s="2"/>
    </x:row>
    <x:row r="171" ht="28" customHeight="1">
      <x:c r="A171" s="38" t="str">
        <x:v>C03-R031</x:v>
      </x:c>
      <x:c r="B171" s="38" t="str">
        <x:v>C03</x:v>
      </x:c>
      <x:c r="C171" s="38" t="str">
        <x:v>交叉口</x:v>
      </x:c>
      <x:c r="D171" s="48" t="n">
        <x:v>116.49202</x:v>
      </x:c>
      <x:c r="E171" s="48" t="n">
        <x:v>39.799371</x:v>
      </x:c>
      <x:c r="F171" s="38" t="str">
        <x:v>是</x:v>
      </x:c>
      <x:c r="G171" s="38" t="str">
        <x:v>OSM</x:v>
      </x:c>
      <x:c r="H171" s="38" t="str">
        <x:v>多路段交汇</x:v>
      </x:c>
      <x:c r="I171" s="2"/>
      <x:c r="J171" s="2"/>
      <x:c r="K171" s="2"/>
      <x:c r="L171" s="2"/>
      <x:c r="M171" s="2"/>
      <x:c r="N171" s="2"/>
      <x:c r="O171" s="2"/>
      <x:c r="P171" s="2"/>
      <x:c r="Q171" s="2"/>
      <x:c r="R171" s="2"/>
      <x:c r="S171" s="2"/>
      <x:c r="T171" s="2"/>
      <x:c r="U171" s="2"/>
      <x:c r="V171" s="2"/>
    </x:row>
    <x:row r="172" ht="28" customHeight="1">
      <x:c r="A172" s="38" t="str">
        <x:v>C03-R032</x:v>
      </x:c>
      <x:c r="B172" s="38" t="str">
        <x:v>C03</x:v>
      </x:c>
      <x:c r="C172" s="38" t="str">
        <x:v>交叉口</x:v>
      </x:c>
      <x:c r="D172" s="48" t="n">
        <x:v>116.49207</x:v>
      </x:c>
      <x:c r="E172" s="48" t="n">
        <x:v>39.79931</x:v>
      </x:c>
      <x:c r="F172" s="38" t="str">
        <x:v>是</x:v>
      </x:c>
      <x:c r="G172" s="38" t="str">
        <x:v>OSM</x:v>
      </x:c>
      <x:c r="H172" s="38" t="str">
        <x:v>多路段交汇</x:v>
      </x:c>
      <x:c r="I172" s="2"/>
      <x:c r="J172" s="2"/>
      <x:c r="K172" s="2"/>
      <x:c r="L172" s="2"/>
      <x:c r="M172" s="2"/>
      <x:c r="N172" s="2"/>
      <x:c r="O172" s="2"/>
      <x:c r="P172" s="2"/>
      <x:c r="Q172" s="2"/>
      <x:c r="R172" s="2"/>
      <x:c r="S172" s="2"/>
      <x:c r="T172" s="2"/>
      <x:c r="U172" s="2"/>
      <x:c r="V172" s="2"/>
    </x:row>
    <x:row r="173" ht="28" customHeight="1">
      <x:c r="A173" s="38" t="str">
        <x:v>C03-R033</x:v>
      </x:c>
      <x:c r="B173" s="38" t="str">
        <x:v>C03</x:v>
      </x:c>
      <x:c r="C173" s="38" t="str">
        <x:v>转弯点</x:v>
      </x:c>
      <x:c r="D173" s="48" t="n">
        <x:v>116.492548</x:v>
      </x:c>
      <x:c r="E173" s="48" t="n">
        <x:v>39.79882</x:v>
      </x:c>
      <x:c r="F173" s="38" t="str">
        <x:v>是</x:v>
      </x:c>
      <x:c r="G173" s="38" t="str">
        <x:v>OSM</x:v>
      </x:c>
      <x:c r="H173" s="38" t="str">
        <x:v>路段转弯点</x:v>
      </x:c>
      <x:c r="I173" s="2"/>
      <x:c r="J173" s="2"/>
      <x:c r="K173" s="2"/>
      <x:c r="L173" s="2"/>
      <x:c r="M173" s="2"/>
      <x:c r="N173" s="2"/>
      <x:c r="O173" s="2"/>
      <x:c r="P173" s="2"/>
      <x:c r="Q173" s="2"/>
      <x:c r="R173" s="2"/>
      <x:c r="S173" s="2"/>
      <x:c r="T173" s="2"/>
      <x:c r="U173" s="2"/>
      <x:c r="V173" s="2"/>
    </x:row>
    <x:row r="174" ht="28" customHeight="1">
      <x:c r="A174" s="38" t="str">
        <x:v>C03-R034</x:v>
      </x:c>
      <x:c r="B174" s="38" t="str">
        <x:v>C03</x:v>
      </x:c>
      <x:c r="C174" s="38" t="str">
        <x:v>交叉口</x:v>
      </x:c>
      <x:c r="D174" s="48" t="n">
        <x:v>116.492133</x:v>
      </x:c>
      <x:c r="E174" s="48" t="n">
        <x:v>39.79934</x:v>
      </x:c>
      <x:c r="F174" s="38" t="str">
        <x:v>是</x:v>
      </x:c>
      <x:c r="G174" s="38" t="str">
        <x:v>OSM</x:v>
      </x:c>
      <x:c r="H174" s="38" t="str">
        <x:v>多路段交汇</x:v>
      </x:c>
      <x:c r="I174" s="2"/>
      <x:c r="J174" s="2"/>
      <x:c r="K174" s="2"/>
      <x:c r="L174" s="2"/>
      <x:c r="M174" s="2"/>
      <x:c r="N174" s="2"/>
      <x:c r="O174" s="2"/>
      <x:c r="P174" s="2"/>
      <x:c r="Q174" s="2"/>
      <x:c r="R174" s="2"/>
      <x:c r="S174" s="2"/>
      <x:c r="T174" s="2"/>
      <x:c r="U174" s="2"/>
      <x:c r="V174" s="2"/>
    </x:row>
    <x:row r="175" ht="28" customHeight="1">
      <x:c r="A175" s="38" t="str">
        <x:v>C03-R035</x:v>
      </x:c>
      <x:c r="B175" s="38" t="str">
        <x:v>C03</x:v>
      </x:c>
      <x:c r="C175" s="38" t="str">
        <x:v>交叉口</x:v>
      </x:c>
      <x:c r="D175" s="48" t="n">
        <x:v>116.495873</x:v>
      </x:c>
      <x:c r="E175" s="48" t="n">
        <x:v>39.801204</x:v>
      </x:c>
      <x:c r="F175" s="38" t="str">
        <x:v>是</x:v>
      </x:c>
      <x:c r="G175" s="38" t="str">
        <x:v>OSM</x:v>
      </x:c>
      <x:c r="H175" s="38" t="str">
        <x:v>多路段交汇</x:v>
      </x:c>
      <x:c r="I175" s="2"/>
      <x:c r="J175" s="2"/>
      <x:c r="K175" s="2"/>
      <x:c r="L175" s="2"/>
      <x:c r="M175" s="2"/>
      <x:c r="N175" s="2"/>
      <x:c r="O175" s="2"/>
      <x:c r="P175" s="2"/>
      <x:c r="Q175" s="2"/>
      <x:c r="R175" s="2"/>
      <x:c r="S175" s="2"/>
      <x:c r="T175" s="2"/>
      <x:c r="U175" s="2"/>
      <x:c r="V175" s="2"/>
    </x:row>
    <x:row r="176" ht="28" customHeight="1">
      <x:c r="A176" s="38" t="str">
        <x:v>C03-R036</x:v>
      </x:c>
      <x:c r="B176" s="38" t="str">
        <x:v>C03</x:v>
      </x:c>
      <x:c r="C176" s="38" t="str">
        <x:v>端点</x:v>
      </x:c>
      <x:c r="D176" s="48" t="n">
        <x:v>116.487538</x:v>
      </x:c>
      <x:c r="E176" s="48" t="n">
        <x:v>39.797126</x:v>
      </x:c>
      <x:c r="F176" s="38" t="str">
        <x:v>是</x:v>
      </x:c>
      <x:c r="G176" s="38" t="str">
        <x:v>OSM</x:v>
      </x:c>
      <x:c r="H176" s="38" t="str">
        <x:v>小区出入口（与市政道路衔接点）</x:v>
      </x:c>
      <x:c r="I176" s="2"/>
      <x:c r="J176" s="2"/>
      <x:c r="K176" s="2"/>
      <x:c r="L176" s="2"/>
      <x:c r="M176" s="2"/>
      <x:c r="N176" s="2"/>
      <x:c r="O176" s="2"/>
      <x:c r="P176" s="2"/>
      <x:c r="Q176" s="2"/>
      <x:c r="R176" s="2"/>
      <x:c r="S176" s="2"/>
      <x:c r="T176" s="2"/>
      <x:c r="U176" s="2"/>
      <x:c r="V176" s="2"/>
    </x:row>
    <x:row r="177" ht="28" customHeight="1">
      <x:c r="A177" s="38" t="str">
        <x:v>C03-R037</x:v>
      </x:c>
      <x:c r="B177" s="38" t="str">
        <x:v>C03</x:v>
      </x:c>
      <x:c r="C177" s="38" t="str">
        <x:v>转弯点</x:v>
      </x:c>
      <x:c r="D177" s="48" t="n">
        <x:v>116.489336</x:v>
      </x:c>
      <x:c r="E177" s="48" t="n">
        <x:v>39.797996</x:v>
      </x:c>
      <x:c r="F177" s="38" t="str">
        <x:v>是</x:v>
      </x:c>
      <x:c r="G177" s="38" t="str">
        <x:v>OSM</x:v>
      </x:c>
      <x:c r="H177" s="38" t="str">
        <x:v>路段转弯点</x:v>
      </x:c>
      <x:c r="I177" s="2"/>
      <x:c r="J177" s="2"/>
      <x:c r="K177" s="2"/>
      <x:c r="L177" s="2"/>
      <x:c r="M177" s="2"/>
      <x:c r="N177" s="2"/>
      <x:c r="O177" s="2"/>
      <x:c r="P177" s="2"/>
      <x:c r="Q177" s="2"/>
      <x:c r="R177" s="2"/>
      <x:c r="S177" s="2"/>
      <x:c r="T177" s="2"/>
      <x:c r="U177" s="2"/>
      <x:c r="V177" s="2"/>
    </x:row>
    <x:row r="178" ht="28" customHeight="1">
      <x:c r="A178" s="38" t="str">
        <x:v>C03-R038</x:v>
      </x:c>
      <x:c r="B178" s="38" t="str">
        <x:v>C03</x:v>
      </x:c>
      <x:c r="C178" s="38" t="str">
        <x:v>转弯点</x:v>
      </x:c>
      <x:c r="D178" s="48" t="n">
        <x:v>116.489755</x:v>
      </x:c>
      <x:c r="E178" s="48" t="n">
        <x:v>39.798194</x:v>
      </x:c>
      <x:c r="F178" s="38" t="str">
        <x:v>是</x:v>
      </x:c>
      <x:c r="G178" s="38" t="str">
        <x:v>OSM</x:v>
      </x:c>
      <x:c r="H178" s="38" t="str">
        <x:v>路段转弯点</x:v>
      </x:c>
      <x:c r="I178" s="2"/>
      <x:c r="J178" s="2"/>
      <x:c r="K178" s="2"/>
      <x:c r="L178" s="2"/>
      <x:c r="M178" s="2"/>
      <x:c r="N178" s="2"/>
      <x:c r="O178" s="2"/>
      <x:c r="P178" s="2"/>
      <x:c r="Q178" s="2"/>
      <x:c r="R178" s="2"/>
      <x:c r="S178" s="2"/>
      <x:c r="T178" s="2"/>
      <x:c r="U178" s="2"/>
      <x:c r="V178" s="2"/>
    </x:row>
    <x:row r="179" ht="28" customHeight="1">
      <x:c r="A179" s="38" t="str">
        <x:v>C03-R039</x:v>
      </x:c>
      <x:c r="B179" s="38" t="str">
        <x:v>C03</x:v>
      </x:c>
      <x:c r="C179" s="38" t="str">
        <x:v>转弯点</x:v>
      </x:c>
      <x:c r="D179" s="48" t="n">
        <x:v>116.489801</x:v>
      </x:c>
      <x:c r="E179" s="48" t="n">
        <x:v>39.798216</x:v>
      </x:c>
      <x:c r="F179" s="38" t="str">
        <x:v>是</x:v>
      </x:c>
      <x:c r="G179" s="38" t="str">
        <x:v>OSM</x:v>
      </x:c>
      <x:c r="H179" s="38" t="str">
        <x:v>路段转弯点</x:v>
      </x:c>
      <x:c r="I179" s="2"/>
      <x:c r="J179" s="2"/>
      <x:c r="K179" s="2"/>
      <x:c r="L179" s="2"/>
      <x:c r="M179" s="2"/>
      <x:c r="N179" s="2"/>
      <x:c r="O179" s="2"/>
      <x:c r="P179" s="2"/>
      <x:c r="Q179" s="2"/>
      <x:c r="R179" s="2"/>
      <x:c r="S179" s="2"/>
      <x:c r="T179" s="2"/>
      <x:c r="U179" s="2"/>
      <x:c r="V179" s="2"/>
    </x:row>
    <x:row r="180" ht="28" customHeight="1">
      <x:c r="A180" s="38" t="str">
        <x:v>C03-R040</x:v>
      </x:c>
      <x:c r="B180" s="38" t="str">
        <x:v>C03</x:v>
      </x:c>
      <x:c r="C180" s="38" t="str">
        <x:v>转弯点</x:v>
      </x:c>
      <x:c r="D180" s="48" t="n">
        <x:v>116.489854</x:v>
      </x:c>
      <x:c r="E180" s="48" t="n">
        <x:v>39.798242</x:v>
      </x:c>
      <x:c r="F180" s="38" t="str">
        <x:v>是</x:v>
      </x:c>
      <x:c r="G180" s="38" t="str">
        <x:v>OSM</x:v>
      </x:c>
      <x:c r="H180" s="38" t="str">
        <x:v>路段转弯点</x:v>
      </x:c>
      <x:c r="I180" s="2"/>
      <x:c r="J180" s="2"/>
      <x:c r="K180" s="2"/>
      <x:c r="L180" s="2"/>
      <x:c r="M180" s="2"/>
      <x:c r="N180" s="2"/>
      <x:c r="O180" s="2"/>
      <x:c r="P180" s="2"/>
      <x:c r="Q180" s="2"/>
      <x:c r="R180" s="2"/>
      <x:c r="S180" s="2"/>
      <x:c r="T180" s="2"/>
      <x:c r="U180" s="2"/>
      <x:c r="V180" s="2"/>
    </x:row>
    <x:row r="181" ht="28" customHeight="1">
      <x:c r="A181" s="38" t="str">
        <x:v>C03-R041</x:v>
      </x:c>
      <x:c r="B181" s="38" t="str">
        <x:v>C03</x:v>
      </x:c>
      <x:c r="C181" s="38" t="str">
        <x:v>转弯点</x:v>
      </x:c>
      <x:c r="D181" s="48" t="n">
        <x:v>116.489906</x:v>
      </x:c>
      <x:c r="E181" s="48" t="n">
        <x:v>39.798266</x:v>
      </x:c>
      <x:c r="F181" s="38" t="str">
        <x:v>是</x:v>
      </x:c>
      <x:c r="G181" s="38" t="str">
        <x:v>OSM</x:v>
      </x:c>
      <x:c r="H181" s="38" t="str">
        <x:v>路段转弯点</x:v>
      </x:c>
      <x:c r="I181" s="2"/>
      <x:c r="J181" s="2"/>
      <x:c r="K181" s="2"/>
      <x:c r="L181" s="2"/>
      <x:c r="M181" s="2"/>
      <x:c r="N181" s="2"/>
      <x:c r="O181" s="2"/>
      <x:c r="P181" s="2"/>
      <x:c r="Q181" s="2"/>
      <x:c r="R181" s="2"/>
      <x:c r="S181" s="2"/>
      <x:c r="T181" s="2"/>
      <x:c r="U181" s="2"/>
      <x:c r="V181" s="2"/>
    </x:row>
    <x:row r="182" ht="28" customHeight="1">
      <x:c r="A182" s="38" t="str">
        <x:v>C03-R042</x:v>
      </x:c>
      <x:c r="B182" s="38" t="str">
        <x:v>C03</x:v>
      </x:c>
      <x:c r="C182" s="38" t="str">
        <x:v>转弯点</x:v>
      </x:c>
      <x:c r="D182" s="48" t="n">
        <x:v>116.490193</x:v>
      </x:c>
      <x:c r="E182" s="48" t="n">
        <x:v>39.798408</x:v>
      </x:c>
      <x:c r="F182" s="38" t="str">
        <x:v>是</x:v>
      </x:c>
      <x:c r="G182" s="38" t="str">
        <x:v>OSM</x:v>
      </x:c>
      <x:c r="H182" s="38" t="str">
        <x:v>路段转弯点</x:v>
      </x:c>
      <x:c r="I182" s="2"/>
      <x:c r="J182" s="2"/>
      <x:c r="K182" s="2"/>
      <x:c r="L182" s="2"/>
      <x:c r="M182" s="2"/>
      <x:c r="N182" s="2"/>
      <x:c r="O182" s="2"/>
      <x:c r="P182" s="2"/>
      <x:c r="Q182" s="2"/>
      <x:c r="R182" s="2"/>
      <x:c r="S182" s="2"/>
      <x:c r="T182" s="2"/>
      <x:c r="U182" s="2"/>
      <x:c r="V182" s="2"/>
    </x:row>
    <x:row r="183" ht="28" customHeight="1">
      <x:c r="A183" s="38" t="str">
        <x:v>C03-R043</x:v>
      </x:c>
      <x:c r="B183" s="38" t="str">
        <x:v>C03</x:v>
      </x:c>
      <x:c r="C183" s="38" t="str">
        <x:v>交叉口</x:v>
      </x:c>
      <x:c r="D183" s="48" t="n">
        <x:v>116.498319</x:v>
      </x:c>
      <x:c r="E183" s="48" t="n">
        <x:v>39.806748</x:v>
      </x:c>
      <x:c r="F183" s="38" t="str">
        <x:v>是</x:v>
      </x:c>
      <x:c r="G183" s="38" t="str">
        <x:v>OSM</x:v>
      </x:c>
      <x:c r="H183" s="38" t="str">
        <x:v>多路段交汇</x:v>
      </x:c>
      <x:c r="I183" s="2"/>
      <x:c r="J183" s="2"/>
      <x:c r="K183" s="2"/>
      <x:c r="L183" s="2"/>
      <x:c r="M183" s="2"/>
      <x:c r="N183" s="2"/>
      <x:c r="O183" s="2"/>
      <x:c r="P183" s="2"/>
      <x:c r="Q183" s="2"/>
      <x:c r="R183" s="2"/>
      <x:c r="S183" s="2"/>
      <x:c r="T183" s="2"/>
      <x:c r="U183" s="2"/>
      <x:c r="V183" s="2"/>
    </x:row>
    <x:row r="184" ht="28" customHeight="1">
      <x:c r="A184" s="38" t="str">
        <x:v>C03-R044</x:v>
      </x:c>
      <x:c r="B184" s="38" t="str">
        <x:v>C03</x:v>
      </x:c>
      <x:c r="C184" s="38" t="str">
        <x:v>转弯点</x:v>
      </x:c>
      <x:c r="D184" s="48" t="n">
        <x:v>116.496507</x:v>
      </x:c>
      <x:c r="E184" s="48" t="n">
        <x:v>39.809024</x:v>
      </x:c>
      <x:c r="F184" s="38" t="str">
        <x:v>是</x:v>
      </x:c>
      <x:c r="G184" s="38" t="str">
        <x:v>OSM</x:v>
      </x:c>
      <x:c r="H184" s="38" t="str">
        <x:v>路段转弯点</x:v>
      </x:c>
      <x:c r="I184" s="2"/>
      <x:c r="J184" s="2"/>
      <x:c r="K184" s="2"/>
      <x:c r="L184" s="2"/>
      <x:c r="M184" s="2"/>
      <x:c r="N184" s="2"/>
      <x:c r="O184" s="2"/>
      <x:c r="P184" s="2"/>
      <x:c r="Q184" s="2"/>
      <x:c r="R184" s="2"/>
      <x:c r="S184" s="2"/>
      <x:c r="T184" s="2"/>
      <x:c r="U184" s="2"/>
      <x:c r="V184" s="2"/>
    </x:row>
    <x:row r="185" ht="28" customHeight="1">
      <x:c r="A185" s="38" t="str">
        <x:v>C03-R045</x:v>
      </x:c>
      <x:c r="B185" s="38" t="str">
        <x:v>C03</x:v>
      </x:c>
      <x:c r="C185" s="38" t="str">
        <x:v>转弯点</x:v>
      </x:c>
      <x:c r="D185" s="48" t="n">
        <x:v>116.496407</x:v>
      </x:c>
      <x:c r="E185" s="48" t="n">
        <x:v>39.809149</x:v>
      </x:c>
      <x:c r="F185" s="38" t="str">
        <x:v>是</x:v>
      </x:c>
      <x:c r="G185" s="38" t="str">
        <x:v>OSM</x:v>
      </x:c>
      <x:c r="H185" s="38" t="str">
        <x:v>路段转弯点</x:v>
      </x:c>
      <x:c r="I185" s="2"/>
      <x:c r="J185" s="2"/>
      <x:c r="K185" s="2"/>
      <x:c r="L185" s="2"/>
      <x:c r="M185" s="2"/>
      <x:c r="N185" s="2"/>
      <x:c r="O185" s="2"/>
      <x:c r="P185" s="2"/>
      <x:c r="Q185" s="2"/>
      <x:c r="R185" s="2"/>
      <x:c r="S185" s="2"/>
      <x:c r="T185" s="2"/>
      <x:c r="U185" s="2"/>
      <x:c r="V185" s="2"/>
    </x:row>
    <x:row r="186" ht="28" customHeight="1">
      <x:c r="A186" s="38" t="str">
        <x:v>C03-R046</x:v>
      </x:c>
      <x:c r="B186" s="38" t="str">
        <x:v>C03</x:v>
      </x:c>
      <x:c r="C186" s="38" t="str">
        <x:v>端点</x:v>
      </x:c>
      <x:c r="D186" s="48" t="n">
        <x:v>116.495685</x:v>
      </x:c>
      <x:c r="E186" s="48" t="n">
        <x:v>39.810057</x:v>
      </x:c>
      <x:c r="F186" s="38" t="str">
        <x:v>是</x:v>
      </x:c>
      <x:c r="G186" s="38" t="str">
        <x:v>OSM</x:v>
      </x:c>
      <x:c r="H186" s="38" t="str">
        <x:v>小区出入口（与市政道路衔接点）</x:v>
      </x:c>
      <x:c r="I186" s="2"/>
      <x:c r="J186" s="2"/>
      <x:c r="K186" s="2"/>
      <x:c r="L186" s="2"/>
      <x:c r="M186" s="2"/>
      <x:c r="N186" s="2"/>
      <x:c r="O186" s="2"/>
      <x:c r="P186" s="2"/>
      <x:c r="Q186" s="2"/>
      <x:c r="R186" s="2"/>
      <x:c r="S186" s="2"/>
      <x:c r="T186" s="2"/>
      <x:c r="U186" s="2"/>
      <x:c r="V186" s="2"/>
    </x:row>
    <x:row r="187" ht="28" customHeight="1">
      <x:c r="A187" s="38" t="str">
        <x:v>C03-R047</x:v>
      </x:c>
      <x:c r="B187" s="38" t="str">
        <x:v>C03</x:v>
      </x:c>
      <x:c r="C187" s="38" t="str">
        <x:v>交叉口</x:v>
      </x:c>
      <x:c r="D187" s="48" t="n">
        <x:v>116.493767</x:v>
      </x:c>
      <x:c r="E187" s="48" t="n">
        <x:v>39.804624</x:v>
      </x:c>
      <x:c r="F187" s="38" t="str">
        <x:v>是</x:v>
      </x:c>
      <x:c r="G187" s="38" t="str">
        <x:v>OSM</x:v>
      </x:c>
      <x:c r="H187" s="38" t="str">
        <x:v>多路段交汇</x:v>
      </x:c>
      <x:c r="I187" s="2"/>
      <x:c r="J187" s="2"/>
      <x:c r="K187" s="2"/>
      <x:c r="L187" s="2"/>
      <x:c r="M187" s="2"/>
      <x:c r="N187" s="2"/>
      <x:c r="O187" s="2"/>
      <x:c r="P187" s="2"/>
      <x:c r="Q187" s="2"/>
      <x:c r="R187" s="2"/>
      <x:c r="S187" s="2"/>
      <x:c r="T187" s="2"/>
      <x:c r="U187" s="2"/>
      <x:c r="V187" s="2"/>
    </x:row>
    <x:row r="188" ht="28" customHeight="1">
      <x:c r="A188" s="38" t="str">
        <x:v>C03-R048</x:v>
      </x:c>
      <x:c r="B188" s="38" t="str">
        <x:v>C03</x:v>
      </x:c>
      <x:c r="C188" s="38" t="str">
        <x:v>交叉口</x:v>
      </x:c>
      <x:c r="D188" s="48" t="n">
        <x:v>116.499083</x:v>
      </x:c>
      <x:c r="E188" s="48" t="n">
        <x:v>39.802784</x:v>
      </x:c>
      <x:c r="F188" s="38" t="str">
        <x:v>是</x:v>
      </x:c>
      <x:c r="G188" s="38" t="str">
        <x:v>OSM</x:v>
      </x:c>
      <x:c r="H188" s="38" t="str">
        <x:v>多路段交汇</x:v>
      </x:c>
      <x:c r="I188" s="2"/>
      <x:c r="J188" s="2"/>
      <x:c r="K188" s="2"/>
      <x:c r="L188" s="2"/>
      <x:c r="M188" s="2"/>
      <x:c r="N188" s="2"/>
      <x:c r="O188" s="2"/>
      <x:c r="P188" s="2"/>
      <x:c r="Q188" s="2"/>
      <x:c r="R188" s="2"/>
      <x:c r="S188" s="2"/>
      <x:c r="T188" s="2"/>
      <x:c r="U188" s="2"/>
      <x:c r="V188" s="2"/>
    </x:row>
    <x:row r="189" ht="28" customHeight="1">
      <x:c r="A189" s="38" t="str">
        <x:v>C03-R049</x:v>
      </x:c>
      <x:c r="B189" s="38" t="str">
        <x:v>C03</x:v>
      </x:c>
      <x:c r="C189" s="38" t="str">
        <x:v>交叉口</x:v>
      </x:c>
      <x:c r="D189" s="48" t="n">
        <x:v>116.498377</x:v>
      </x:c>
      <x:c r="E189" s="48" t="n">
        <x:v>39.803668</x:v>
      </x:c>
      <x:c r="F189" s="38" t="str">
        <x:v>是</x:v>
      </x:c>
      <x:c r="G189" s="38" t="str">
        <x:v>OSM</x:v>
      </x:c>
      <x:c r="H189" s="38" t="str">
        <x:v>多路段交汇</x:v>
      </x:c>
      <x:c r="I189" s="2"/>
      <x:c r="J189" s="2"/>
      <x:c r="K189" s="2"/>
      <x:c r="L189" s="2"/>
      <x:c r="M189" s="2"/>
      <x:c r="N189" s="2"/>
      <x:c r="O189" s="2"/>
      <x:c r="P189" s="2"/>
      <x:c r="Q189" s="2"/>
      <x:c r="R189" s="2"/>
      <x:c r="S189" s="2"/>
      <x:c r="T189" s="2"/>
      <x:c r="U189" s="2"/>
      <x:c r="V189" s="2"/>
    </x:row>
    <x:row r="190" ht="28" customHeight="1">
      <x:c r="A190" s="38" t="str">
        <x:v>C03-R050</x:v>
      </x:c>
      <x:c r="B190" s="38" t="str">
        <x:v>C03</x:v>
      </x:c>
      <x:c r="C190" s="38" t="str">
        <x:v>交叉口</x:v>
      </x:c>
      <x:c r="D190" s="48" t="n">
        <x:v>116.496595</x:v>
      </x:c>
      <x:c r="E190" s="48" t="n">
        <x:v>39.805886</x:v>
      </x:c>
      <x:c r="F190" s="38" t="str">
        <x:v>是</x:v>
      </x:c>
      <x:c r="G190" s="38" t="str">
        <x:v>OSM</x:v>
      </x:c>
      <x:c r="H190" s="38" t="str">
        <x:v>多路段交汇</x:v>
      </x:c>
      <x:c r="I190" s="2"/>
      <x:c r="J190" s="2"/>
      <x:c r="K190" s="2"/>
      <x:c r="L190" s="2"/>
      <x:c r="M190" s="2"/>
      <x:c r="N190" s="2"/>
      <x:c r="O190" s="2"/>
      <x:c r="P190" s="2"/>
      <x:c r="Q190" s="2"/>
      <x:c r="R190" s="2"/>
      <x:c r="S190" s="2"/>
      <x:c r="T190" s="2"/>
      <x:c r="U190" s="2"/>
      <x:c r="V190" s="2"/>
    </x:row>
    <x:row r="191" ht="28" customHeight="1">
      <x:c r="A191" s="38" t="str">
        <x:v>C03-R051</x:v>
      </x:c>
      <x:c r="B191" s="38" t="str">
        <x:v>C03</x:v>
      </x:c>
      <x:c r="C191" s="38" t="str">
        <x:v>交叉口</x:v>
      </x:c>
      <x:c r="D191" s="48" t="n">
        <x:v>116.496546</x:v>
      </x:c>
      <x:c r="E191" s="48" t="n">
        <x:v>39.805947</x:v>
      </x:c>
      <x:c r="F191" s="38" t="str">
        <x:v>是</x:v>
      </x:c>
      <x:c r="G191" s="38" t="str">
        <x:v>OSM</x:v>
      </x:c>
      <x:c r="H191" s="38" t="str">
        <x:v>多路段交汇</x:v>
      </x:c>
      <x:c r="I191" s="2"/>
      <x:c r="J191" s="2"/>
      <x:c r="K191" s="2"/>
      <x:c r="L191" s="2"/>
      <x:c r="M191" s="2"/>
      <x:c r="N191" s="2"/>
      <x:c r="O191" s="2"/>
      <x:c r="P191" s="2"/>
      <x:c r="Q191" s="2"/>
      <x:c r="R191" s="2"/>
      <x:c r="S191" s="2"/>
      <x:c r="T191" s="2"/>
      <x:c r="U191" s="2"/>
      <x:c r="V191" s="2"/>
    </x:row>
    <x:row r="192" ht="28" customHeight="1">
      <x:c r="A192" s="38" t="str">
        <x:v>C03-R052</x:v>
      </x:c>
      <x:c r="B192" s="38" t="str">
        <x:v>C03</x:v>
      </x:c>
      <x:c r="C192" s="38" t="str">
        <x:v>交叉口</x:v>
      </x:c>
      <x:c r="D192" s="48" t="n">
        <x:v>116.50027</x:v>
      </x:c>
      <x:c r="E192" s="48" t="n">
        <x:v>39.804592</x:v>
      </x:c>
      <x:c r="F192" s="38" t="str">
        <x:v>是</x:v>
      </x:c>
      <x:c r="G192" s="38" t="str">
        <x:v>OSM</x:v>
      </x:c>
      <x:c r="H192" s="38" t="str">
        <x:v>多路段交汇</x:v>
      </x:c>
      <x:c r="I192" s="2"/>
      <x:c r="J192" s="2"/>
      <x:c r="K192" s="2"/>
      <x:c r="L192" s="2"/>
      <x:c r="M192" s="2"/>
      <x:c r="N192" s="2"/>
      <x:c r="O192" s="2"/>
      <x:c r="P192" s="2"/>
      <x:c r="Q192" s="2"/>
      <x:c r="R192" s="2"/>
      <x:c r="S192" s="2"/>
      <x:c r="T192" s="2"/>
      <x:c r="U192" s="2"/>
      <x:c r="V192" s="2"/>
    </x:row>
    <x:row r="193" ht="28" customHeight="1">
      <x:c r="A193" s="38" t="str">
        <x:v>C03-R053</x:v>
      </x:c>
      <x:c r="B193" s="38" t="str">
        <x:v>C03</x:v>
      </x:c>
      <x:c r="C193" s="38" t="str">
        <x:v>转弯点</x:v>
      </x:c>
      <x:c r="D193" s="48" t="n">
        <x:v>116.502208</x:v>
      </x:c>
      <x:c r="E193" s="48" t="n">
        <x:v>39.805552</x:v>
      </x:c>
      <x:c r="F193" s="38" t="str">
        <x:v>是</x:v>
      </x:c>
      <x:c r="G193" s="38" t="str">
        <x:v>OSM</x:v>
      </x:c>
      <x:c r="H193" s="38" t="str">
        <x:v>路段转弯点</x:v>
      </x:c>
      <x:c r="I193" s="2"/>
      <x:c r="J193" s="2"/>
      <x:c r="K193" s="2"/>
      <x:c r="L193" s="2"/>
      <x:c r="M193" s="2"/>
      <x:c r="N193" s="2"/>
      <x:c r="O193" s="2"/>
      <x:c r="P193" s="2"/>
      <x:c r="Q193" s="2"/>
      <x:c r="R193" s="2"/>
      <x:c r="S193" s="2"/>
      <x:c r="T193" s="2"/>
      <x:c r="U193" s="2"/>
      <x:c r="V193" s="2"/>
    </x:row>
    <x:row r="194" ht="28" customHeight="1">
      <x:c r="A194" s="38" t="str">
        <x:v>C03-R054</x:v>
      </x:c>
      <x:c r="B194" s="38" t="str">
        <x:v>C03</x:v>
      </x:c>
      <x:c r="C194" s="38" t="str">
        <x:v>转弯点</x:v>
      </x:c>
      <x:c r="D194" s="48" t="n">
        <x:v>116.502293</x:v>
      </x:c>
      <x:c r="E194" s="48" t="n">
        <x:v>39.805594</x:v>
      </x:c>
      <x:c r="F194" s="38" t="str">
        <x:v>是</x:v>
      </x:c>
      <x:c r="G194" s="38" t="str">
        <x:v>OSM</x:v>
      </x:c>
      <x:c r="H194" s="38" t="str">
        <x:v>路段转弯点</x:v>
      </x:c>
      <x:c r="I194" s="2"/>
      <x:c r="J194" s="2"/>
      <x:c r="K194" s="2"/>
      <x:c r="L194" s="2"/>
      <x:c r="M194" s="2"/>
      <x:c r="N194" s="2"/>
      <x:c r="O194" s="2"/>
      <x:c r="P194" s="2"/>
      <x:c r="Q194" s="2"/>
      <x:c r="R194" s="2"/>
      <x:c r="S194" s="2"/>
      <x:c r="T194" s="2"/>
      <x:c r="U194" s="2"/>
      <x:c r="V194" s="2"/>
    </x:row>
    <x:row r="195" ht="28" customHeight="1">
      <x:c r="A195" s="38" t="str">
        <x:v>C03-R055</x:v>
      </x:c>
      <x:c r="B195" s="38" t="str">
        <x:v>C03</x:v>
      </x:c>
      <x:c r="C195" s="38" t="str">
        <x:v>端点</x:v>
      </x:c>
      <x:c r="D195" s="48" t="n">
        <x:v>116.504416</x:v>
      </x:c>
      <x:c r="E195" s="48" t="n">
        <x:v>39.806588</x:v>
      </x:c>
      <x:c r="F195" s="38" t="str">
        <x:v>是</x:v>
      </x:c>
      <x:c r="G195" s="38" t="str">
        <x:v>OSM</x:v>
      </x:c>
      <x:c r="H195" s="38" t="str">
        <x:v>小区出入口（与市政道路衔接点）</x:v>
      </x:c>
      <x:c r="I195" s="2"/>
      <x:c r="J195" s="2"/>
      <x:c r="K195" s="2"/>
      <x:c r="L195" s="2"/>
      <x:c r="M195" s="2"/>
      <x:c r="N195" s="2"/>
      <x:c r="O195" s="2"/>
      <x:c r="P195" s="2"/>
      <x:c r="Q195" s="2"/>
      <x:c r="R195" s="2"/>
      <x:c r="S195" s="2"/>
      <x:c r="T195" s="2"/>
      <x:c r="U195" s="2"/>
      <x:c r="V195" s="2"/>
    </x:row>
    <x:row r="196" ht="28" customHeight="1">
      <x:c r="A196" s="38" t="str">
        <x:v>C03-R056</x:v>
      </x:c>
      <x:c r="B196" s="38" t="str">
        <x:v>C03</x:v>
      </x:c>
      <x:c r="C196" s="38" t="str">
        <x:v>转弯点</x:v>
      </x:c>
      <x:c r="D196" s="48" t="n">
        <x:v>116.496932</x:v>
      </x:c>
      <x:c r="E196" s="48" t="n">
        <x:v>39.802944</x:v>
      </x:c>
      <x:c r="F196" s="38" t="str">
        <x:v>是</x:v>
      </x:c>
      <x:c r="G196" s="38" t="str">
        <x:v>OSM</x:v>
      </x:c>
      <x:c r="H196" s="38" t="str">
        <x:v>路段转弯点</x:v>
      </x:c>
      <x:c r="I196" s="2"/>
      <x:c r="J196" s="2"/>
      <x:c r="K196" s="2"/>
      <x:c r="L196" s="2"/>
      <x:c r="M196" s="2"/>
      <x:c r="N196" s="2"/>
      <x:c r="O196" s="2"/>
      <x:c r="P196" s="2"/>
      <x:c r="Q196" s="2"/>
      <x:c r="R196" s="2"/>
      <x:c r="S196" s="2"/>
      <x:c r="T196" s="2"/>
      <x:c r="U196" s="2"/>
      <x:c r="V196" s="2"/>
    </x:row>
    <x:row r="197" ht="28" customHeight="1">
      <x:c r="A197" s="38" t="str">
        <x:v>C03-R057</x:v>
      </x:c>
      <x:c r="B197" s="38" t="str">
        <x:v>C03</x:v>
      </x:c>
      <x:c r="C197" s="38" t="str">
        <x:v>交叉口</x:v>
      </x:c>
      <x:c r="D197" s="48" t="n">
        <x:v>116.497626</x:v>
      </x:c>
      <x:c r="E197" s="48" t="n">
        <x:v>39.802053</x:v>
      </x:c>
      <x:c r="F197" s="38" t="str">
        <x:v>是</x:v>
      </x:c>
      <x:c r="G197" s="38" t="str">
        <x:v>OSM</x:v>
      </x:c>
      <x:c r="H197" s="38" t="str">
        <x:v>多路段交汇</x:v>
      </x:c>
      <x:c r="I197" s="2"/>
      <x:c r="J197" s="2"/>
      <x:c r="K197" s="2"/>
      <x:c r="L197" s="2"/>
      <x:c r="M197" s="2"/>
      <x:c r="N197" s="2"/>
      <x:c r="O197" s="2"/>
      <x:c r="P197" s="2"/>
      <x:c r="Q197" s="2"/>
      <x:c r="R197" s="2"/>
      <x:c r="S197" s="2"/>
      <x:c r="T197" s="2"/>
      <x:c r="U197" s="2"/>
      <x:c r="V197" s="2"/>
    </x:row>
    <x:row r="198" ht="28" customHeight="1">
      <x:c r="A198" s="38" t="str">
        <x:v>C03-R058</x:v>
      </x:c>
      <x:c r="B198" s="38" t="str">
        <x:v>C03</x:v>
      </x:c>
      <x:c r="C198" s="38" t="str">
        <x:v>交叉口</x:v>
      </x:c>
      <x:c r="D198" s="48" t="n">
        <x:v>116.500246</x:v>
      </x:c>
      <x:c r="E198" s="48" t="n">
        <x:v>39.79881</x:v>
      </x:c>
      <x:c r="F198" s="38" t="str">
        <x:v>是</x:v>
      </x:c>
      <x:c r="G198" s="38" t="str">
        <x:v>OSM</x:v>
      </x:c>
      <x:c r="H198" s="38" t="str">
        <x:v>多路段交汇</x:v>
      </x:c>
      <x:c r="I198" s="2"/>
      <x:c r="J198" s="2"/>
      <x:c r="K198" s="2"/>
      <x:c r="L198" s="2"/>
      <x:c r="M198" s="2"/>
      <x:c r="N198" s="2"/>
      <x:c r="O198" s="2"/>
      <x:c r="P198" s="2"/>
      <x:c r="Q198" s="2"/>
      <x:c r="R198" s="2"/>
      <x:c r="S198" s="2"/>
      <x:c r="T198" s="2"/>
      <x:c r="U198" s="2"/>
      <x:c r="V198" s="2"/>
    </x:row>
    <x:row r="199" ht="28" customHeight="1">
      <x:c r="A199" s="38" t="str">
        <x:v>C03-R059</x:v>
      </x:c>
      <x:c r="B199" s="38" t="str">
        <x:v>C03</x:v>
      </x:c>
      <x:c r="C199" s="38" t="str">
        <x:v>转弯点</x:v>
      </x:c>
      <x:c r="D199" s="48" t="n">
        <x:v>116.502703</x:v>
      </x:c>
      <x:c r="E199" s="48" t="n">
        <x:v>39.795758</x:v>
      </x:c>
      <x:c r="F199" s="38" t="str">
        <x:v>是</x:v>
      </x:c>
      <x:c r="G199" s="38" t="str">
        <x:v>OSM</x:v>
      </x:c>
      <x:c r="H199" s="38" t="str">
        <x:v>路段转弯点</x:v>
      </x:c>
      <x:c r="I199" s="2"/>
      <x:c r="J199" s="2"/>
      <x:c r="K199" s="2"/>
      <x:c r="L199" s="2"/>
      <x:c r="M199" s="2"/>
      <x:c r="N199" s="2"/>
      <x:c r="O199" s="2"/>
      <x:c r="P199" s="2"/>
      <x:c r="Q199" s="2"/>
      <x:c r="R199" s="2"/>
      <x:c r="S199" s="2"/>
      <x:c r="T199" s="2"/>
      <x:c r="U199" s="2"/>
      <x:c r="V199" s="2"/>
    </x:row>
    <x:row r="200" ht="28" customHeight="1">
      <x:c r="A200" s="38" t="str">
        <x:v>C03-R060</x:v>
      </x:c>
      <x:c r="B200" s="38" t="str">
        <x:v>C03</x:v>
      </x:c>
      <x:c r="C200" s="38" t="str">
        <x:v>端点</x:v>
      </x:c>
      <x:c r="D200" s="48" t="n">
        <x:v>116.502776</x:v>
      </x:c>
      <x:c r="E200" s="48" t="n">
        <x:v>39.795588</x:v>
      </x:c>
      <x:c r="F200" s="38" t="str">
        <x:v>是</x:v>
      </x:c>
      <x:c r="G200" s="38" t="str">
        <x:v>OSM</x:v>
      </x:c>
      <x:c r="H200" s="38" t="str">
        <x:v>小区出入口（与市政道路衔接点）</x:v>
      </x:c>
      <x:c r="I200" s="2"/>
      <x:c r="J200" s="2"/>
      <x:c r="K200" s="2"/>
      <x:c r="L200" s="2"/>
      <x:c r="M200" s="2"/>
      <x:c r="N200" s="2"/>
      <x:c r="O200" s="2"/>
      <x:c r="P200" s="2"/>
      <x:c r="Q200" s="2"/>
      <x:c r="R200" s="2"/>
      <x:c r="S200" s="2"/>
      <x:c r="T200" s="2"/>
      <x:c r="U200" s="2"/>
      <x:c r="V200" s="2"/>
    </x:row>
    <x:row r="201" ht="28" customHeight="1">
      <x:c r="A201" s="38" t="str">
        <x:v>C03-R061</x:v>
      </x:c>
      <x:c r="B201" s="38" t="str">
        <x:v>C03</x:v>
      </x:c>
      <x:c r="C201" s="38" t="str">
        <x:v>交叉口</x:v>
      </x:c>
      <x:c r="D201" s="48" t="n">
        <x:v>116.500978</x:v>
      </x:c>
      <x:c r="E201" s="48" t="n">
        <x:v>39.803688</x:v>
      </x:c>
      <x:c r="F201" s="38" t="str">
        <x:v>是</x:v>
      </x:c>
      <x:c r="G201" s="38" t="str">
        <x:v>OSM</x:v>
      </x:c>
      <x:c r="H201" s="38" t="str">
        <x:v>多路段交汇</x:v>
      </x:c>
      <x:c r="I201" s="2"/>
      <x:c r="J201" s="2"/>
      <x:c r="K201" s="2"/>
      <x:c r="L201" s="2"/>
      <x:c r="M201" s="2"/>
      <x:c r="N201" s="2"/>
      <x:c r="O201" s="2"/>
      <x:c r="P201" s="2"/>
      <x:c r="Q201" s="2"/>
      <x:c r="R201" s="2"/>
      <x:c r="S201" s="2"/>
      <x:c r="T201" s="2"/>
      <x:c r="U201" s="2"/>
      <x:c r="V201" s="2"/>
    </x:row>
    <x:row r="202" ht="28" customHeight="1">
      <x:c r="A202" s="38" t="str">
        <x:v>C03-R062</x:v>
      </x:c>
      <x:c r="B202" s="38" t="str">
        <x:v>C03</x:v>
      </x:c>
      <x:c r="C202" s="38" t="str">
        <x:v>交叉口</x:v>
      </x:c>
      <x:c r="D202" s="48" t="n">
        <x:v>116.501015</x:v>
      </x:c>
      <x:c r="E202" s="48" t="n">
        <x:v>39.803641</x:v>
      </x:c>
      <x:c r="F202" s="38" t="str">
        <x:v>是</x:v>
      </x:c>
      <x:c r="G202" s="38" t="str">
        <x:v>OSM</x:v>
      </x:c>
      <x:c r="H202" s="38" t="str">
        <x:v>多路段交汇</x:v>
      </x:c>
      <x:c r="I202" s="2"/>
      <x:c r="J202" s="2"/>
      <x:c r="K202" s="2"/>
      <x:c r="L202" s="2"/>
      <x:c r="M202" s="2"/>
      <x:c r="N202" s="2"/>
      <x:c r="O202" s="2"/>
      <x:c r="P202" s="2"/>
      <x:c r="Q202" s="2"/>
      <x:c r="R202" s="2"/>
      <x:c r="S202" s="2"/>
      <x:c r="T202" s="2"/>
      <x:c r="U202" s="2"/>
      <x:c r="V202" s="2"/>
    </x:row>
    <x:row r="203" ht="28" customHeight="1">
      <x:c r="A203" s="38" t="str">
        <x:v>C03-R063</x:v>
      </x:c>
      <x:c r="B203" s="38" t="str">
        <x:v>C03</x:v>
      </x:c>
      <x:c r="C203" s="38" t="str">
        <x:v>转弯点</x:v>
      </x:c>
      <x:c r="D203" s="48" t="n">
        <x:v>116.501749</x:v>
      </x:c>
      <x:c r="E203" s="48" t="n">
        <x:v>39.802741</x:v>
      </x:c>
      <x:c r="F203" s="38" t="str">
        <x:v>是</x:v>
      </x:c>
      <x:c r="G203" s="38" t="str">
        <x:v>OSM</x:v>
      </x:c>
      <x:c r="H203" s="38" t="str">
        <x:v>路段转弯点</x:v>
      </x:c>
      <x:c r="I203" s="2"/>
      <x:c r="J203" s="2"/>
      <x:c r="K203" s="2"/>
      <x:c r="L203" s="2"/>
      <x:c r="M203" s="2"/>
      <x:c r="N203" s="2"/>
      <x:c r="O203" s="2"/>
      <x:c r="P203" s="2"/>
      <x:c r="Q203" s="2"/>
      <x:c r="R203" s="2"/>
      <x:c r="S203" s="2"/>
      <x:c r="T203" s="2"/>
      <x:c r="U203" s="2"/>
      <x:c r="V203" s="2"/>
    </x:row>
    <x:row r="204" ht="28" customHeight="1">
      <x:c r="A204" s="38" t="str">
        <x:v>C03-R064</x:v>
      </x:c>
      <x:c r="B204" s="38" t="str">
        <x:v>C03</x:v>
      </x:c>
      <x:c r="C204" s="38" t="str">
        <x:v>交叉口</x:v>
      </x:c>
      <x:c r="D204" s="48" t="n">
        <x:v>116.503626</x:v>
      </x:c>
      <x:c r="E204" s="48" t="n">
        <x:v>39.800441</x:v>
      </x:c>
      <x:c r="F204" s="38" t="str">
        <x:v>是</x:v>
      </x:c>
      <x:c r="G204" s="38" t="str">
        <x:v>OSM</x:v>
      </x:c>
      <x:c r="H204" s="38" t="str">
        <x:v>多路段交汇</x:v>
      </x:c>
      <x:c r="I204" s="2"/>
      <x:c r="J204" s="2"/>
      <x:c r="K204" s="2"/>
      <x:c r="L204" s="2"/>
      <x:c r="M204" s="2"/>
      <x:c r="N204" s="2"/>
      <x:c r="O204" s="2"/>
      <x:c r="P204" s="2"/>
      <x:c r="Q204" s="2"/>
      <x:c r="R204" s="2"/>
      <x:c r="S204" s="2"/>
      <x:c r="T204" s="2"/>
      <x:c r="U204" s="2"/>
      <x:c r="V204" s="2"/>
    </x:row>
    <x:row r="205" ht="28" customHeight="1">
      <x:c r="A205" s="38" t="str">
        <x:v>C03-R065</x:v>
      </x:c>
      <x:c r="B205" s="38" t="str">
        <x:v>C03</x:v>
      </x:c>
      <x:c r="C205" s="38" t="str">
        <x:v>转弯点</x:v>
      </x:c>
      <x:c r="D205" s="48" t="n">
        <x:v>116.506193</x:v>
      </x:c>
      <x:c r="E205" s="48" t="n">
        <x:v>39.797241</x:v>
      </x:c>
      <x:c r="F205" s="38" t="str">
        <x:v>是</x:v>
      </x:c>
      <x:c r="G205" s="38" t="str">
        <x:v>OSM</x:v>
      </x:c>
      <x:c r="H205" s="38" t="str">
        <x:v>路段转弯点</x:v>
      </x:c>
      <x:c r="I205" s="2"/>
      <x:c r="J205" s="2"/>
      <x:c r="K205" s="2"/>
      <x:c r="L205" s="2"/>
      <x:c r="M205" s="2"/>
      <x:c r="N205" s="2"/>
      <x:c r="O205" s="2"/>
      <x:c r="P205" s="2"/>
      <x:c r="Q205" s="2"/>
      <x:c r="R205" s="2"/>
      <x:c r="S205" s="2"/>
      <x:c r="T205" s="2"/>
      <x:c r="U205" s="2"/>
      <x:c r="V205" s="2"/>
    </x:row>
    <x:row r="206" ht="28" customHeight="1">
      <x:c r="A206" s="38" t="str">
        <x:v>C03-R066</x:v>
      </x:c>
      <x:c r="B206" s="38" t="str">
        <x:v>C03</x:v>
      </x:c>
      <x:c r="C206" s="38" t="str">
        <x:v>端点</x:v>
      </x:c>
      <x:c r="D206" s="48" t="n">
        <x:v>116.508752</x:v>
      </x:c>
      <x:c r="E206" s="48" t="n">
        <x:v>39.794099</x:v>
      </x:c>
      <x:c r="F206" s="38" t="str">
        <x:v>是</x:v>
      </x:c>
      <x:c r="G206" s="38" t="str">
        <x:v>OSM</x:v>
      </x:c>
      <x:c r="H206" s="38" t="str">
        <x:v>小区出入口（与市政道路衔接点）</x:v>
      </x:c>
      <x:c r="I206" s="2"/>
      <x:c r="J206" s="2"/>
      <x:c r="K206" s="2"/>
      <x:c r="L206" s="2"/>
      <x:c r="M206" s="2"/>
      <x:c r="N206" s="2"/>
      <x:c r="O206" s="2"/>
      <x:c r="P206" s="2"/>
      <x:c r="Q206" s="2"/>
      <x:c r="R206" s="2"/>
      <x:c r="S206" s="2"/>
      <x:c r="T206" s="2"/>
      <x:c r="U206" s="2"/>
      <x:c r="V206" s="2"/>
    </x:row>
    <x:row r="207" ht="28" customHeight="1">
      <x:c r="A207" s="38" t="str">
        <x:v>C03-R067</x:v>
      </x:c>
      <x:c r="B207" s="38" t="str">
        <x:v>C03</x:v>
      </x:c>
      <x:c r="C207" s="38" t="str">
        <x:v>交叉口</x:v>
      </x:c>
      <x:c r="D207" s="48" t="n">
        <x:v>116.494633</x:v>
      </x:c>
      <x:c r="E207" s="48" t="n">
        <x:v>39.800545</x:v>
      </x:c>
      <x:c r="F207" s="38" t="str">
        <x:v>是</x:v>
      </x:c>
      <x:c r="G207" s="38" t="str">
        <x:v>OSM</x:v>
      </x:c>
      <x:c r="H207" s="38" t="str">
        <x:v>多路段交汇</x:v>
      </x:c>
      <x:c r="I207" s="2"/>
      <x:c r="J207" s="2"/>
      <x:c r="K207" s="2"/>
      <x:c r="L207" s="2"/>
      <x:c r="M207" s="2"/>
      <x:c r="N207" s="2"/>
      <x:c r="O207" s="2"/>
      <x:c r="P207" s="2"/>
      <x:c r="Q207" s="2"/>
      <x:c r="R207" s="2"/>
      <x:c r="S207" s="2"/>
      <x:c r="T207" s="2"/>
      <x:c r="U207" s="2"/>
      <x:c r="V207" s="2"/>
    </x:row>
    <x:row r="208" ht="28" customHeight="1">
      <x:c r="A208" s="38" t="str">
        <x:v>C03-R068</x:v>
      </x:c>
      <x:c r="B208" s="38" t="str">
        <x:v>C03</x:v>
      </x:c>
      <x:c r="C208" s="38" t="str">
        <x:v>端点</x:v>
      </x:c>
      <x:c r="D208" s="48" t="n">
        <x:v>116.497242</x:v>
      </x:c>
      <x:c r="E208" s="48" t="n">
        <x:v>39.797352</x:v>
      </x:c>
      <x:c r="F208" s="38" t="str">
        <x:v>是</x:v>
      </x:c>
      <x:c r="G208" s="38" t="str">
        <x:v>OSM</x:v>
      </x:c>
      <x:c r="H208" s="38" t="str">
        <x:v>小区出入口（与市政道路衔接点）</x:v>
      </x:c>
      <x:c r="I208" s="2"/>
      <x:c r="J208" s="2"/>
      <x:c r="K208" s="2"/>
      <x:c r="L208" s="2"/>
      <x:c r="M208" s="2"/>
      <x:c r="N208" s="2"/>
      <x:c r="O208" s="2"/>
      <x:c r="P208" s="2"/>
      <x:c r="Q208" s="2"/>
      <x:c r="R208" s="2"/>
      <x:c r="S208" s="2"/>
      <x:c r="T208" s="2"/>
      <x:c r="U208" s="2"/>
      <x:c r="V208" s="2"/>
    </x:row>
    <x:row r="209" ht="28" customHeight="1">
      <x:c r="A209" s="38" t="str">
        <x:v>C03-R069</x:v>
      </x:c>
      <x:c r="B209" s="38" t="str">
        <x:v>C03</x:v>
      </x:c>
      <x:c r="C209" s="38" t="str">
        <x:v>交叉口</x:v>
      </x:c>
      <x:c r="D209" s="48" t="n">
        <x:v>116.493663</x:v>
      </x:c>
      <x:c r="E209" s="48" t="n">
        <x:v>39.800078</x:v>
      </x:c>
      <x:c r="F209" s="38" t="str">
        <x:v>是</x:v>
      </x:c>
      <x:c r="G209" s="38" t="str">
        <x:v>OSM</x:v>
      </x:c>
      <x:c r="H209" s="38" t="str">
        <x:v>多路段交汇</x:v>
      </x:c>
      <x:c r="I209" s="2"/>
      <x:c r="J209" s="2"/>
      <x:c r="K209" s="2"/>
      <x:c r="L209" s="2"/>
      <x:c r="M209" s="2"/>
      <x:c r="N209" s="2"/>
      <x:c r="O209" s="2"/>
      <x:c r="P209" s="2"/>
      <x:c r="Q209" s="2"/>
      <x:c r="R209" s="2"/>
      <x:c r="S209" s="2"/>
      <x:c r="T209" s="2"/>
      <x:c r="U209" s="2"/>
      <x:c r="V209" s="2"/>
    </x:row>
    <x:row r="210" ht="28" customHeight="1">
      <x:c r="A210" s="38" t="str">
        <x:v>C03-R070</x:v>
      </x:c>
      <x:c r="B210" s="38" t="str">
        <x:v>C03</x:v>
      </x:c>
      <x:c r="C210" s="38" t="str">
        <x:v>转弯点</x:v>
      </x:c>
      <x:c r="D210" s="48" t="n">
        <x:v>116.493755</x:v>
      </x:c>
      <x:c r="E210" s="48" t="n">
        <x:v>39.799959</x:v>
      </x:c>
      <x:c r="F210" s="38" t="str">
        <x:v>是</x:v>
      </x:c>
      <x:c r="G210" s="38" t="str">
        <x:v>OSM</x:v>
      </x:c>
      <x:c r="H210" s="38" t="str">
        <x:v>路段转弯点</x:v>
      </x:c>
      <x:c r="I210" s="2"/>
      <x:c r="J210" s="2"/>
      <x:c r="K210" s="2"/>
      <x:c r="L210" s="2"/>
      <x:c r="M210" s="2"/>
      <x:c r="N210" s="2"/>
      <x:c r="O210" s="2"/>
      <x:c r="P210" s="2"/>
      <x:c r="Q210" s="2"/>
      <x:c r="R210" s="2"/>
      <x:c r="S210" s="2"/>
      <x:c r="T210" s="2"/>
      <x:c r="U210" s="2"/>
      <x:c r="V210" s="2"/>
    </x:row>
    <x:row r="211" ht="28" customHeight="1">
      <x:c r="A211" s="38" t="str">
        <x:v>C03-R071</x:v>
      </x:c>
      <x:c r="B211" s="38" t="str">
        <x:v>C03</x:v>
      </x:c>
      <x:c r="C211" s="38" t="str">
        <x:v>交叉口</x:v>
      </x:c>
      <x:c r="D211" s="48" t="n">
        <x:v>116.494002</x:v>
      </x:c>
      <x:c r="E211" s="48" t="n">
        <x:v>39.799638</x:v>
      </x:c>
      <x:c r="F211" s="38" t="str">
        <x:v>是</x:v>
      </x:c>
      <x:c r="G211" s="38" t="str">
        <x:v>OSM</x:v>
      </x:c>
      <x:c r="H211" s="38" t="str">
        <x:v>多路段交汇</x:v>
      </x:c>
      <x:c r="I211" s="2"/>
      <x:c r="J211" s="2"/>
      <x:c r="K211" s="2"/>
      <x:c r="L211" s="2"/>
      <x:c r="M211" s="2"/>
      <x:c r="N211" s="2"/>
      <x:c r="O211" s="2"/>
      <x:c r="P211" s="2"/>
      <x:c r="Q211" s="2"/>
      <x:c r="R211" s="2"/>
      <x:c r="S211" s="2"/>
      <x:c r="T211" s="2"/>
      <x:c r="U211" s="2"/>
      <x:c r="V211" s="2"/>
    </x:row>
    <x:row r="212" ht="28" customHeight="1">
      <x:c r="A212" s="38" t="str">
        <x:v>C03-R072</x:v>
      </x:c>
      <x:c r="B212" s="38" t="str">
        <x:v>C03</x:v>
      </x:c>
      <x:c r="C212" s="38" t="str">
        <x:v>转弯点</x:v>
      </x:c>
      <x:c r="D212" s="48" t="n">
        <x:v>116.494375</x:v>
      </x:c>
      <x:c r="E212" s="48" t="n">
        <x:v>39.799154</x:v>
      </x:c>
      <x:c r="F212" s="38" t="str">
        <x:v>是</x:v>
      </x:c>
      <x:c r="G212" s="38" t="str">
        <x:v>OSM</x:v>
      </x:c>
      <x:c r="H212" s="38" t="str">
        <x:v>路段转弯点</x:v>
      </x:c>
      <x:c r="I212" s="2"/>
      <x:c r="J212" s="2"/>
      <x:c r="K212" s="2"/>
      <x:c r="L212" s="2"/>
      <x:c r="M212" s="2"/>
      <x:c r="N212" s="2"/>
      <x:c r="O212" s="2"/>
      <x:c r="P212" s="2"/>
      <x:c r="Q212" s="2"/>
      <x:c r="R212" s="2"/>
      <x:c r="S212" s="2"/>
      <x:c r="T212" s="2"/>
      <x:c r="U212" s="2"/>
      <x:c r="V212" s="2"/>
    </x:row>
    <x:row r="213" ht="28" customHeight="1">
      <x:c r="A213" s="38" t="str">
        <x:v>C03-R073</x:v>
      </x:c>
      <x:c r="B213" s="38" t="str">
        <x:v>C03</x:v>
      </x:c>
      <x:c r="C213" s="38" t="str">
        <x:v>转弯点</x:v>
      </x:c>
      <x:c r="D213" s="48" t="n">
        <x:v>116.494712</x:v>
      </x:c>
      <x:c r="E213" s="48" t="n">
        <x:v>39.799094</x:v>
      </x:c>
      <x:c r="F213" s="38" t="str">
        <x:v>是</x:v>
      </x:c>
      <x:c r="G213" s="38" t="str">
        <x:v>OSM</x:v>
      </x:c>
      <x:c r="H213" s="38" t="str">
        <x:v>路段转弯点</x:v>
      </x:c>
      <x:c r="I213" s="2"/>
      <x:c r="J213" s="2"/>
      <x:c r="K213" s="2"/>
      <x:c r="L213" s="2"/>
      <x:c r="M213" s="2"/>
      <x:c r="N213" s="2"/>
      <x:c r="O213" s="2"/>
      <x:c r="P213" s="2"/>
      <x:c r="Q213" s="2"/>
      <x:c r="R213" s="2"/>
      <x:c r="S213" s="2"/>
      <x:c r="T213" s="2"/>
      <x:c r="U213" s="2"/>
      <x:c r="V213" s="2"/>
    </x:row>
    <x:row r="214" ht="28" customHeight="1">
      <x:c r="A214" s="38" t="str">
        <x:v>C03-R074</x:v>
      </x:c>
      <x:c r="B214" s="38" t="str">
        <x:v>C03</x:v>
      </x:c>
      <x:c r="C214" s="38" t="str">
        <x:v>转弯点</x:v>
      </x:c>
      <x:c r="D214" s="48" t="n">
        <x:v>116.494755</x:v>
      </x:c>
      <x:c r="E214" s="48" t="n">
        <x:v>39.79905</x:v>
      </x:c>
      <x:c r="F214" s="38" t="str">
        <x:v>是</x:v>
      </x:c>
      <x:c r="G214" s="38" t="str">
        <x:v>OSM</x:v>
      </x:c>
      <x:c r="H214" s="38" t="str">
        <x:v>路段转弯点</x:v>
      </x:c>
      <x:c r="I214" s="2"/>
      <x:c r="J214" s="2"/>
      <x:c r="K214" s="2"/>
      <x:c r="L214" s="2"/>
      <x:c r="M214" s="2"/>
      <x:c r="N214" s="2"/>
      <x:c r="O214" s="2"/>
      <x:c r="P214" s="2"/>
      <x:c r="Q214" s="2"/>
      <x:c r="R214" s="2"/>
      <x:c r="S214" s="2"/>
      <x:c r="T214" s="2"/>
      <x:c r="U214" s="2"/>
      <x:c r="V214" s="2"/>
    </x:row>
    <x:row r="215" ht="28" customHeight="1">
      <x:c r="A215" s="38" t="str">
        <x:v>C03-R075</x:v>
      </x:c>
      <x:c r="B215" s="38" t="str">
        <x:v>C03</x:v>
      </x:c>
      <x:c r="C215" s="38" t="str">
        <x:v>端点</x:v>
      </x:c>
      <x:c r="D215" s="48" t="n">
        <x:v>116.495049</x:v>
      </x:c>
      <x:c r="E215" s="48" t="n">
        <x:v>39.798998</x:v>
      </x:c>
      <x:c r="F215" s="38" t="str">
        <x:v>是</x:v>
      </x:c>
      <x:c r="G215" s="38" t="str">
        <x:v>OSM</x:v>
      </x:c>
      <x:c r="H215" s="38" t="str">
        <x:v>小区出入口（与市政道路衔接点）</x:v>
      </x:c>
      <x:c r="I215" s="2"/>
      <x:c r="J215" s="2"/>
      <x:c r="K215" s="2"/>
      <x:c r="L215" s="2"/>
      <x:c r="M215" s="2"/>
      <x:c r="N215" s="2"/>
      <x:c r="O215" s="2"/>
      <x:c r="P215" s="2"/>
      <x:c r="Q215" s="2"/>
      <x:c r="R215" s="2"/>
      <x:c r="S215" s="2"/>
      <x:c r="T215" s="2"/>
      <x:c r="U215" s="2"/>
      <x:c r="V215" s="2"/>
    </x:row>
    <x:row r="216" ht="28" customHeight="1">
      <x:c r="A216" s="38" t="str">
        <x:v>C03-R076</x:v>
      </x:c>
      <x:c r="B216" s="38" t="str">
        <x:v>C03</x:v>
      </x:c>
      <x:c r="C216" s="38" t="str">
        <x:v>转弯点</x:v>
      </x:c>
      <x:c r="D216" s="48" t="n">
        <x:v>116.493111</x:v>
      </x:c>
      <x:c r="E216" s="48" t="n">
        <x:v>39.799208</x:v>
      </x:c>
      <x:c r="F216" s="38" t="str">
        <x:v>是</x:v>
      </x:c>
      <x:c r="G216" s="38" t="str">
        <x:v>OSM</x:v>
      </x:c>
      <x:c r="H216" s="38" t="str">
        <x:v>路段转弯点</x:v>
      </x:c>
      <x:c r="I216" s="2"/>
      <x:c r="J216" s="2"/>
      <x:c r="K216" s="2"/>
      <x:c r="L216" s="2"/>
      <x:c r="M216" s="2"/>
      <x:c r="N216" s="2"/>
      <x:c r="O216" s="2"/>
      <x:c r="P216" s="2"/>
      <x:c r="Q216" s="2"/>
      <x:c r="R216" s="2"/>
      <x:c r="S216" s="2"/>
      <x:c r="T216" s="2"/>
      <x:c r="U216" s="2"/>
      <x:c r="V216" s="2"/>
    </x:row>
    <x:row r="217" ht="28" customHeight="1">
      <x:c r="A217" s="38" t="str">
        <x:v>C03-R077</x:v>
      </x:c>
      <x:c r="B217" s="38" t="str">
        <x:v>C03</x:v>
      </x:c>
      <x:c r="C217" s="38" t="str">
        <x:v>转弯点</x:v>
      </x:c>
      <x:c r="D217" s="48" t="n">
        <x:v>116.493033</x:v>
      </x:c>
      <x:c r="E217" s="48" t="n">
        <x:v>39.799064</x:v>
      </x:c>
      <x:c r="F217" s="38" t="str">
        <x:v>是</x:v>
      </x:c>
      <x:c r="G217" s="38" t="str">
        <x:v>OSM</x:v>
      </x:c>
      <x:c r="H217" s="38" t="str">
        <x:v>路段转弯点</x:v>
      </x:c>
      <x:c r="I217" s="2"/>
      <x:c r="J217" s="2"/>
      <x:c r="K217" s="2"/>
      <x:c r="L217" s="2"/>
      <x:c r="M217" s="2"/>
      <x:c r="N217" s="2"/>
      <x:c r="O217" s="2"/>
      <x:c r="P217" s="2"/>
      <x:c r="Q217" s="2"/>
      <x:c r="R217" s="2"/>
      <x:c r="S217" s="2"/>
      <x:c r="T217" s="2"/>
      <x:c r="U217" s="2"/>
      <x:c r="V217" s="2"/>
    </x:row>
    <x:row r="218" ht="28" customHeight="1">
      <x:c r="A218" s="38" t="str">
        <x:v>C03-R078</x:v>
      </x:c>
      <x:c r="B218" s="38" t="str">
        <x:v>C03</x:v>
      </x:c>
      <x:c r="C218" s="38" t="str">
        <x:v>转弯点</x:v>
      </x:c>
      <x:c r="D218" s="48" t="n">
        <x:v>116.493009</x:v>
      </x:c>
      <x:c r="E218" s="48" t="n">
        <x:v>39.798946</x:v>
      </x:c>
      <x:c r="F218" s="38" t="str">
        <x:v>是</x:v>
      </x:c>
      <x:c r="G218" s="38" t="str">
        <x:v>OSM</x:v>
      </x:c>
      <x:c r="H218" s="38" t="str">
        <x:v>路段转弯点</x:v>
      </x:c>
      <x:c r="I218" s="2"/>
      <x:c r="J218" s="2"/>
      <x:c r="K218" s="2"/>
      <x:c r="L218" s="2"/>
      <x:c r="M218" s="2"/>
      <x:c r="N218" s="2"/>
      <x:c r="O218" s="2"/>
      <x:c r="P218" s="2"/>
      <x:c r="Q218" s="2"/>
      <x:c r="R218" s="2"/>
      <x:c r="S218" s="2"/>
      <x:c r="T218" s="2"/>
      <x:c r="U218" s="2"/>
      <x:c r="V218" s="2"/>
    </x:row>
    <x:row r="219" ht="28" customHeight="1">
      <x:c r="A219" s="38" t="str">
        <x:v>C03-R079</x:v>
      </x:c>
      <x:c r="B219" s="38" t="str">
        <x:v>C03</x:v>
      </x:c>
      <x:c r="C219" s="38" t="str">
        <x:v>转弯点</x:v>
      </x:c>
      <x:c r="D219" s="48" t="n">
        <x:v>116.493058</x:v>
      </x:c>
      <x:c r="E219" s="48" t="n">
        <x:v>39.798829</x:v>
      </x:c>
      <x:c r="F219" s="38" t="str">
        <x:v>是</x:v>
      </x:c>
      <x:c r="G219" s="38" t="str">
        <x:v>OSM</x:v>
      </x:c>
      <x:c r="H219" s="38" t="str">
        <x:v>路段转弯点</x:v>
      </x:c>
      <x:c r="I219" s="2"/>
      <x:c r="J219" s="2"/>
      <x:c r="K219" s="2"/>
      <x:c r="L219" s="2"/>
      <x:c r="M219" s="2"/>
      <x:c r="N219" s="2"/>
      <x:c r="O219" s="2"/>
      <x:c r="P219" s="2"/>
      <x:c r="Q219" s="2"/>
      <x:c r="R219" s="2"/>
      <x:c r="S219" s="2"/>
      <x:c r="T219" s="2"/>
      <x:c r="U219" s="2"/>
      <x:c r="V219" s="2"/>
    </x:row>
    <x:row r="220" ht="28" customHeight="1">
      <x:c r="A220" s="38" t="str">
        <x:v>C03-R080</x:v>
      </x:c>
      <x:c r="B220" s="38" t="str">
        <x:v>C03</x:v>
      </x:c>
      <x:c r="C220" s="38" t="str">
        <x:v>转弯点</x:v>
      </x:c>
      <x:c r="D220" s="48" t="n">
        <x:v>116.493968</x:v>
      </x:c>
      <x:c r="E220" s="48" t="n">
        <x:v>39.797716</x:v>
      </x:c>
      <x:c r="F220" s="38" t="str">
        <x:v>是</x:v>
      </x:c>
      <x:c r="G220" s="38" t="str">
        <x:v>OSM</x:v>
      </x:c>
      <x:c r="H220" s="38" t="str">
        <x:v>路段转弯点</x:v>
      </x:c>
      <x:c r="I220" s="2"/>
      <x:c r="J220" s="2"/>
      <x:c r="K220" s="2"/>
      <x:c r="L220" s="2"/>
      <x:c r="M220" s="2"/>
      <x:c r="N220" s="2"/>
      <x:c r="O220" s="2"/>
      <x:c r="P220" s="2"/>
      <x:c r="Q220" s="2"/>
      <x:c r="R220" s="2"/>
      <x:c r="S220" s="2"/>
      <x:c r="T220" s="2"/>
      <x:c r="U220" s="2"/>
      <x:c r="V220" s="2"/>
    </x:row>
    <x:row r="221" ht="28" customHeight="1">
      <x:c r="A221" s="38" t="str">
        <x:v>C03-R081</x:v>
      </x:c>
      <x:c r="B221" s="38" t="str">
        <x:v>C03</x:v>
      </x:c>
      <x:c r="C221" s="38" t="str">
        <x:v>转弯点</x:v>
      </x:c>
      <x:c r="D221" s="48" t="n">
        <x:v>116.494893</x:v>
      </x:c>
      <x:c r="E221" s="48" t="n">
        <x:v>39.796585</x:v>
      </x:c>
      <x:c r="F221" s="38" t="str">
        <x:v>是</x:v>
      </x:c>
      <x:c r="G221" s="38" t="str">
        <x:v>OSM</x:v>
      </x:c>
      <x:c r="H221" s="38" t="str">
        <x:v>路段转弯点</x:v>
      </x:c>
      <x:c r="I221" s="2"/>
      <x:c r="J221" s="2"/>
      <x:c r="K221" s="2"/>
      <x:c r="L221" s="2"/>
      <x:c r="M221" s="2"/>
      <x:c r="N221" s="2"/>
      <x:c r="O221" s="2"/>
      <x:c r="P221" s="2"/>
      <x:c r="Q221" s="2"/>
      <x:c r="R221" s="2"/>
      <x:c r="S221" s="2"/>
      <x:c r="T221" s="2"/>
      <x:c r="U221" s="2"/>
      <x:c r="V221" s="2"/>
    </x:row>
    <x:row r="222" ht="28" customHeight="1">
      <x:c r="A222" s="38" t="str">
        <x:v>C03-R082</x:v>
      </x:c>
      <x:c r="B222" s="38" t="str">
        <x:v>C03</x:v>
      </x:c>
      <x:c r="C222" s="38" t="str">
        <x:v>端点</x:v>
      </x:c>
      <x:c r="D222" s="48" t="n">
        <x:v>116.494858</x:v>
      </x:c>
      <x:c r="E222" s="48" t="n">
        <x:v>39.796449</x:v>
      </x:c>
      <x:c r="F222" s="38" t="str">
        <x:v>是</x:v>
      </x:c>
      <x:c r="G222" s="38" t="str">
        <x:v>OSM</x:v>
      </x:c>
      <x:c r="H222" s="38" t="str">
        <x:v>小区出入口（与市政道路衔接点）</x:v>
      </x:c>
      <x:c r="I222" s="2"/>
      <x:c r="J222" s="2"/>
      <x:c r="K222" s="2"/>
      <x:c r="L222" s="2"/>
      <x:c r="M222" s="2"/>
      <x:c r="N222" s="2"/>
      <x:c r="O222" s="2"/>
      <x:c r="P222" s="2"/>
      <x:c r="Q222" s="2"/>
      <x:c r="R222" s="2"/>
      <x:c r="S222" s="2"/>
      <x:c r="T222" s="2"/>
      <x:c r="U222" s="2"/>
      <x:c r="V222" s="2"/>
    </x:row>
    <x:row r="223" ht="28" customHeight="1">
      <x:c r="A223" s="38" t="str">
        <x:v>C03-R083</x:v>
      </x:c>
      <x:c r="B223" s="38" t="str">
        <x:v>C03</x:v>
      </x:c>
      <x:c r="C223" s="38" t="str">
        <x:v>交叉口</x:v>
      </x:c>
      <x:c r="D223" s="48" t="n">
        <x:v>116.493307</x:v>
      </x:c>
      <x:c r="E223" s="48" t="n">
        <x:v>39.805206</x:v>
      </x:c>
      <x:c r="F223" s="38" t="str">
        <x:v>是</x:v>
      </x:c>
      <x:c r="G223" s="38" t="str">
        <x:v>OSM</x:v>
      </x:c>
      <x:c r="H223" s="38" t="str">
        <x:v>多路段交汇</x:v>
      </x:c>
      <x:c r="I223" s="2"/>
      <x:c r="J223" s="2"/>
      <x:c r="K223" s="2"/>
      <x:c r="L223" s="2"/>
      <x:c r="M223" s="2"/>
      <x:c r="N223" s="2"/>
      <x:c r="O223" s="2"/>
      <x:c r="P223" s="2"/>
      <x:c r="Q223" s="2"/>
      <x:c r="R223" s="2"/>
      <x:c r="S223" s="2"/>
      <x:c r="T223" s="2"/>
      <x:c r="U223" s="2"/>
      <x:c r="V223" s="2"/>
    </x:row>
    <x:row r="224" ht="28" customHeight="1">
      <x:c r="A224" s="38" t="str">
        <x:v>C03-R084</x:v>
      </x:c>
      <x:c r="B224" s="38" t="str">
        <x:v>C03</x:v>
      </x:c>
      <x:c r="C224" s="38" t="str">
        <x:v>交叉口</x:v>
      </x:c>
      <x:c r="D224" s="48" t="n">
        <x:v>116.492935</x:v>
      </x:c>
      <x:c r="E224" s="48" t="n">
        <x:v>39.805663</x:v>
      </x:c>
      <x:c r="F224" s="38" t="str">
        <x:v>是</x:v>
      </x:c>
      <x:c r="G224" s="38" t="str">
        <x:v>OSM</x:v>
      </x:c>
      <x:c r="H224" s="38" t="str">
        <x:v>多路段交汇</x:v>
      </x:c>
      <x:c r="I224" s="2"/>
      <x:c r="J224" s="2"/>
      <x:c r="K224" s="2"/>
      <x:c r="L224" s="2"/>
      <x:c r="M224" s="2"/>
      <x:c r="N224" s="2"/>
      <x:c r="O224" s="2"/>
      <x:c r="P224" s="2"/>
      <x:c r="Q224" s="2"/>
      <x:c r="R224" s="2"/>
      <x:c r="S224" s="2"/>
      <x:c r="T224" s="2"/>
      <x:c r="U224" s="2"/>
      <x:c r="V224" s="2"/>
    </x:row>
    <x:row r="225" ht="28" customHeight="1">
      <x:c r="A225" s="38" t="str">
        <x:v>C03-R085</x:v>
      </x:c>
      <x:c r="B225" s="38" t="str">
        <x:v>C03</x:v>
      </x:c>
      <x:c r="C225" s="38" t="str">
        <x:v>交叉口</x:v>
      </x:c>
      <x:c r="D225" s="48" t="n">
        <x:v>116.492163</x:v>
      </x:c>
      <x:c r="E225" s="48" t="n">
        <x:v>39.806612</x:v>
      </x:c>
      <x:c r="F225" s="38" t="str">
        <x:v>是</x:v>
      </x:c>
      <x:c r="G225" s="38" t="str">
        <x:v>OSM</x:v>
      </x:c>
      <x:c r="H225" s="38" t="str">
        <x:v>多路段交汇</x:v>
      </x:c>
      <x:c r="I225" s="2"/>
      <x:c r="J225" s="2"/>
      <x:c r="K225" s="2"/>
      <x:c r="L225" s="2"/>
      <x:c r="M225" s="2"/>
      <x:c r="N225" s="2"/>
      <x:c r="O225" s="2"/>
      <x:c r="P225" s="2"/>
      <x:c r="Q225" s="2"/>
      <x:c r="R225" s="2"/>
      <x:c r="S225" s="2"/>
      <x:c r="T225" s="2"/>
      <x:c r="U225" s="2"/>
      <x:c r="V225" s="2"/>
    </x:row>
    <x:row r="226" ht="28" customHeight="1">
      <x:c r="A226" s="38" t="str">
        <x:v>C03-R086</x:v>
      </x:c>
      <x:c r="B226" s="38" t="str">
        <x:v>C03</x:v>
      </x:c>
      <x:c r="C226" s="38" t="str">
        <x:v>交叉口</x:v>
      </x:c>
      <x:c r="D226" s="48" t="n">
        <x:v>116.491662</x:v>
      </x:c>
      <x:c r="E226" s="48" t="n">
        <x:v>39.807227</x:v>
      </x:c>
      <x:c r="F226" s="38" t="str">
        <x:v>是</x:v>
      </x:c>
      <x:c r="G226" s="38" t="str">
        <x:v>OSM</x:v>
      </x:c>
      <x:c r="H226" s="38" t="str">
        <x:v>多路段交汇</x:v>
      </x:c>
      <x:c r="I226" s="2"/>
      <x:c r="J226" s="2"/>
      <x:c r="K226" s="2"/>
      <x:c r="L226" s="2"/>
      <x:c r="M226" s="2"/>
      <x:c r="N226" s="2"/>
      <x:c r="O226" s="2"/>
      <x:c r="P226" s="2"/>
      <x:c r="Q226" s="2"/>
      <x:c r="R226" s="2"/>
      <x:c r="S226" s="2"/>
      <x:c r="T226" s="2"/>
      <x:c r="U226" s="2"/>
      <x:c r="V226" s="2"/>
    </x:row>
    <x:row r="227" ht="28" customHeight="1">
      <x:c r="A227" s="38" t="str">
        <x:v>C03-R087</x:v>
      </x:c>
      <x:c r="B227" s="38" t="str">
        <x:v>C03</x:v>
      </x:c>
      <x:c r="C227" s="38" t="str">
        <x:v>转弯点</x:v>
      </x:c>
      <x:c r="D227" s="48" t="n">
        <x:v>116.491042</x:v>
      </x:c>
      <x:c r="E227" s="48" t="n">
        <x:v>39.807988</x:v>
      </x:c>
      <x:c r="F227" s="38" t="str">
        <x:v>是</x:v>
      </x:c>
      <x:c r="G227" s="38" t="str">
        <x:v>OSM</x:v>
      </x:c>
      <x:c r="H227" s="38" t="str">
        <x:v>路段转弯点</x:v>
      </x:c>
      <x:c r="I227" s="2"/>
      <x:c r="J227" s="2"/>
      <x:c r="K227" s="2"/>
      <x:c r="L227" s="2"/>
      <x:c r="M227" s="2"/>
      <x:c r="N227" s="2"/>
      <x:c r="O227" s="2"/>
      <x:c r="P227" s="2"/>
      <x:c r="Q227" s="2"/>
      <x:c r="R227" s="2"/>
      <x:c r="S227" s="2"/>
      <x:c r="T227" s="2"/>
      <x:c r="U227" s="2"/>
      <x:c r="V227" s="2"/>
    </x:row>
    <x:row r="228" ht="28" customHeight="1">
      <x:c r="A228" s="38" t="str">
        <x:v>C03-R088</x:v>
      </x:c>
      <x:c r="B228" s="38" t="str">
        <x:v>C03</x:v>
      </x:c>
      <x:c r="C228" s="38" t="str">
        <x:v>端点</x:v>
      </x:c>
      <x:c r="D228" s="48" t="n">
        <x:v>116.49084</x:v>
      </x:c>
      <x:c r="E228" s="48" t="n">
        <x:v>39.808021</x:v>
      </x:c>
      <x:c r="F228" s="38" t="str">
        <x:v>是</x:v>
      </x:c>
      <x:c r="G228" s="38" t="str">
        <x:v>OSM</x:v>
      </x:c>
      <x:c r="H228" s="38" t="str">
        <x:v>小区出入口（与市政道路衔接点）</x:v>
      </x:c>
      <x:c r="I228" s="2"/>
      <x:c r="J228" s="2"/>
      <x:c r="K228" s="2"/>
      <x:c r="L228" s="2"/>
      <x:c r="M228" s="2"/>
      <x:c r="N228" s="2"/>
      <x:c r="O228" s="2"/>
      <x:c r="P228" s="2"/>
      <x:c r="Q228" s="2"/>
      <x:c r="R228" s="2"/>
      <x:c r="S228" s="2"/>
      <x:c r="T228" s="2"/>
      <x:c r="U228" s="2"/>
      <x:c r="V228" s="2"/>
    </x:row>
    <x:row r="229" ht="28" customHeight="1">
      <x:c r="A229" s="38" t="str">
        <x:v>C03-R089</x:v>
      </x:c>
      <x:c r="B229" s="38" t="str">
        <x:v>C03</x:v>
      </x:c>
      <x:c r="C229" s="38" t="str">
        <x:v>交叉口</x:v>
      </x:c>
      <x:c r="D229" s="48" t="n">
        <x:v>116.497901</x:v>
      </x:c>
      <x:c r="E229" s="48" t="n">
        <x:v>39.798967</x:v>
      </x:c>
      <x:c r="F229" s="38" t="str">
        <x:v>是</x:v>
      </x:c>
      <x:c r="G229" s="38" t="str">
        <x:v>OSM</x:v>
      </x:c>
      <x:c r="H229" s="38" t="str">
        <x:v>多路段交汇</x:v>
      </x:c>
      <x:c r="I229" s="2"/>
      <x:c r="J229" s="2"/>
      <x:c r="K229" s="2"/>
      <x:c r="L229" s="2"/>
      <x:c r="M229" s="2"/>
      <x:c r="N229" s="2"/>
      <x:c r="O229" s="2"/>
      <x:c r="P229" s="2"/>
      <x:c r="Q229" s="2"/>
      <x:c r="R229" s="2"/>
      <x:c r="S229" s="2"/>
      <x:c r="T229" s="2"/>
      <x:c r="U229" s="2"/>
      <x:c r="V229" s="2"/>
    </x:row>
    <x:row r="230" ht="28" customHeight="1">
      <x:c r="A230" s="38" t="str">
        <x:v>C03-R090</x:v>
      </x:c>
      <x:c r="B230" s="38" t="str">
        <x:v>C03</x:v>
      </x:c>
      <x:c r="C230" s="38" t="str">
        <x:v>交叉口</x:v>
      </x:c>
      <x:c r="D230" s="48" t="n">
        <x:v>116.497935</x:v>
      </x:c>
      <x:c r="E230" s="48" t="n">
        <x:v>39.798666</x:v>
      </x:c>
      <x:c r="F230" s="38" t="str">
        <x:v>是</x:v>
      </x:c>
      <x:c r="G230" s="38" t="str">
        <x:v>OSM</x:v>
      </x:c>
      <x:c r="H230" s="38" t="str">
        <x:v>多路段交汇</x:v>
      </x:c>
      <x:c r="I230" s="2"/>
      <x:c r="J230" s="2"/>
      <x:c r="K230" s="2"/>
      <x:c r="L230" s="2"/>
      <x:c r="M230" s="2"/>
      <x:c r="N230" s="2"/>
      <x:c r="O230" s="2"/>
      <x:c r="P230" s="2"/>
      <x:c r="Q230" s="2"/>
      <x:c r="R230" s="2"/>
      <x:c r="S230" s="2"/>
      <x:c r="T230" s="2"/>
      <x:c r="U230" s="2"/>
      <x:c r="V230" s="2"/>
    </x:row>
    <x:row r="231" ht="28" customHeight="1">
      <x:c r="A231" s="38" t="str">
        <x:v>C03-R091</x:v>
      </x:c>
      <x:c r="B231" s="38" t="str">
        <x:v>C03</x:v>
      </x:c>
      <x:c r="C231" s="38" t="str">
        <x:v>交叉口</x:v>
      </x:c>
      <x:c r="D231" s="48" t="n">
        <x:v>116.495347</x:v>
      </x:c>
      <x:c r="E231" s="48" t="n">
        <x:v>39.801852</x:v>
      </x:c>
      <x:c r="F231" s="38" t="str">
        <x:v>是</x:v>
      </x:c>
      <x:c r="G231" s="38" t="str">
        <x:v>OSM</x:v>
      </x:c>
      <x:c r="H231" s="38" t="str">
        <x:v>多路段交汇</x:v>
      </x:c>
      <x:c r="I231" s="2"/>
      <x:c r="J231" s="2"/>
      <x:c r="K231" s="2"/>
      <x:c r="L231" s="2"/>
      <x:c r="M231" s="2"/>
      <x:c r="N231" s="2"/>
      <x:c r="O231" s="2"/>
      <x:c r="P231" s="2"/>
      <x:c r="Q231" s="2"/>
      <x:c r="R231" s="2"/>
      <x:c r="S231" s="2"/>
      <x:c r="T231" s="2"/>
      <x:c r="U231" s="2"/>
      <x:c r="V231" s="2"/>
    </x:row>
    <x:row r="232" ht="28" customHeight="1">
      <x:c r="A232" s="38" t="str">
        <x:v>C03-R092</x:v>
      </x:c>
      <x:c r="B232" s="38" t="str">
        <x:v>C03</x:v>
      </x:c>
      <x:c r="C232" s="38" t="str">
        <x:v>交叉口</x:v>
      </x:c>
      <x:c r="D232" s="48" t="n">
        <x:v>116.493278</x:v>
      </x:c>
      <x:c r="E232" s="48" t="n">
        <x:v>39.804406</x:v>
      </x:c>
      <x:c r="F232" s="38" t="str">
        <x:v>是</x:v>
      </x:c>
      <x:c r="G232" s="38" t="str">
        <x:v>OSM</x:v>
      </x:c>
      <x:c r="H232" s="38" t="str">
        <x:v>多路段交汇</x:v>
      </x:c>
      <x:c r="I232" s="2"/>
      <x:c r="J232" s="2"/>
      <x:c r="K232" s="2"/>
      <x:c r="L232" s="2"/>
      <x:c r="M232" s="2"/>
      <x:c r="N232" s="2"/>
      <x:c r="O232" s="2"/>
      <x:c r="P232" s="2"/>
      <x:c r="Q232" s="2"/>
      <x:c r="R232" s="2"/>
      <x:c r="S232" s="2"/>
      <x:c r="T232" s="2"/>
      <x:c r="U232" s="2"/>
      <x:c r="V232" s="2"/>
    </x:row>
    <x:row r="233" ht="28" customHeight="1">
      <x:c r="A233" s="38" t="str">
        <x:v>C03-R093</x:v>
      </x:c>
      <x:c r="B233" s="38" t="str">
        <x:v>C03</x:v>
      </x:c>
      <x:c r="C233" s="38" t="str">
        <x:v>交叉口</x:v>
      </x:c>
      <x:c r="D233" s="48" t="n">
        <x:v>116.49592</x:v>
      </x:c>
      <x:c r="E233" s="48" t="n">
        <x:v>39.801138</x:v>
      </x:c>
      <x:c r="F233" s="38" t="str">
        <x:v>是</x:v>
      </x:c>
      <x:c r="G233" s="38" t="str">
        <x:v>OSM</x:v>
      </x:c>
      <x:c r="H233" s="38" t="str">
        <x:v>多路段交汇</x:v>
      </x:c>
      <x:c r="I233" s="2"/>
      <x:c r="J233" s="2"/>
      <x:c r="K233" s="2"/>
      <x:c r="L233" s="2"/>
      <x:c r="M233" s="2"/>
      <x:c r="N233" s="2"/>
      <x:c r="O233" s="2"/>
      <x:c r="P233" s="2"/>
      <x:c r="Q233" s="2"/>
      <x:c r="R233" s="2"/>
      <x:c r="S233" s="2"/>
      <x:c r="T233" s="2"/>
      <x:c r="U233" s="2"/>
      <x:c r="V233" s="2"/>
    </x:row>
    <x:row r="234" ht="28" customHeight="1">
      <x:c r="A234" s="38" t="str">
        <x:v>C03-R094</x:v>
      </x:c>
      <x:c r="B234" s="38" t="str">
        <x:v>C03</x:v>
      </x:c>
      <x:c r="C234" s="38" t="str">
        <x:v>交叉口</x:v>
      </x:c>
      <x:c r="D234" s="48" t="n">
        <x:v>116.497729</x:v>
      </x:c>
      <x:c r="E234" s="48" t="n">
        <x:v>39.79892</x:v>
      </x:c>
      <x:c r="F234" s="38" t="str">
        <x:v>是</x:v>
      </x:c>
      <x:c r="G234" s="38" t="str">
        <x:v>OSM</x:v>
      </x:c>
      <x:c r="H234" s="38" t="str">
        <x:v>多路段交汇</x:v>
      </x:c>
      <x:c r="I234" s="2"/>
      <x:c r="J234" s="2"/>
      <x:c r="K234" s="2"/>
      <x:c r="L234" s="2"/>
      <x:c r="M234" s="2"/>
      <x:c r="N234" s="2"/>
      <x:c r="O234" s="2"/>
      <x:c r="P234" s="2"/>
      <x:c r="Q234" s="2"/>
      <x:c r="R234" s="2"/>
      <x:c r="S234" s="2"/>
      <x:c r="T234" s="2"/>
      <x:c r="U234" s="2"/>
      <x:c r="V234" s="2"/>
    </x:row>
    <x:row r="235" ht="28" customHeight="1">
      <x:c r="A235" s="38" t="str">
        <x:v>C03-R095</x:v>
      </x:c>
      <x:c r="B235" s="38" t="str">
        <x:v>C03</x:v>
      </x:c>
      <x:c r="C235" s="38" t="str">
        <x:v>端点</x:v>
      </x:c>
      <x:c r="D235" s="48" t="n">
        <x:v>116.498502</x:v>
      </x:c>
      <x:c r="E235" s="48" t="n">
        <x:v>39.797969</x:v>
      </x:c>
      <x:c r="F235" s="38" t="str">
        <x:v>是</x:v>
      </x:c>
      <x:c r="G235" s="38" t="str">
        <x:v>OSM</x:v>
      </x:c>
      <x:c r="H235" s="38" t="str">
        <x:v>小区出入口（与市政道路衔接点）</x:v>
      </x:c>
      <x:c r="I235" s="2"/>
      <x:c r="J235" s="2"/>
      <x:c r="K235" s="2"/>
      <x:c r="L235" s="2"/>
      <x:c r="M235" s="2"/>
      <x:c r="N235" s="2"/>
      <x:c r="O235" s="2"/>
      <x:c r="P235" s="2"/>
      <x:c r="Q235" s="2"/>
      <x:c r="R235" s="2"/>
      <x:c r="S235" s="2"/>
      <x:c r="T235" s="2"/>
      <x:c r="U235" s="2"/>
      <x:c r="V235" s="2"/>
    </x:row>
    <x:row r="236" ht="28" customHeight="1">
      <x:c r="A236" s="38" t="str">
        <x:v>C03-R096</x:v>
      </x:c>
      <x:c r="B236" s="38" t="str">
        <x:v>C03</x:v>
      </x:c>
      <x:c r="C236" s="38" t="str">
        <x:v>转弯点</x:v>
      </x:c>
      <x:c r="D236" s="48" t="n">
        <x:v>116.497555</x:v>
      </x:c>
      <x:c r="E236" s="48" t="n">
        <x:v>39.798836</x:v>
      </x:c>
      <x:c r="F236" s="38" t="str">
        <x:v>是</x:v>
      </x:c>
      <x:c r="G236" s="38" t="str">
        <x:v>OSM</x:v>
      </x:c>
      <x:c r="H236" s="38" t="str">
        <x:v>路段转弯点</x:v>
      </x:c>
      <x:c r="I236" s="2"/>
      <x:c r="J236" s="2"/>
      <x:c r="K236" s="2"/>
      <x:c r="L236" s="2"/>
      <x:c r="M236" s="2"/>
      <x:c r="N236" s="2"/>
      <x:c r="O236" s="2"/>
      <x:c r="P236" s="2"/>
      <x:c r="Q236" s="2"/>
      <x:c r="R236" s="2"/>
      <x:c r="S236" s="2"/>
      <x:c r="T236" s="2"/>
      <x:c r="U236" s="2"/>
      <x:c r="V236" s="2"/>
    </x:row>
    <x:row r="237" ht="28" customHeight="1">
      <x:c r="A237" s="38" t="str">
        <x:v>C03-R097</x:v>
      </x:c>
      <x:c r="B237" s="38" t="str">
        <x:v>C03</x:v>
      </x:c>
      <x:c r="C237" s="38" t="str">
        <x:v>转弯点</x:v>
      </x:c>
      <x:c r="D237" s="48" t="n">
        <x:v>116.49748</x:v>
      </x:c>
      <x:c r="E237" s="48" t="n">
        <x:v>39.798792</x:v>
      </x:c>
      <x:c r="F237" s="38" t="str">
        <x:v>是</x:v>
      </x:c>
      <x:c r="G237" s="38" t="str">
        <x:v>OSM</x:v>
      </x:c>
      <x:c r="H237" s="38" t="str">
        <x:v>路段转弯点</x:v>
      </x:c>
      <x:c r="I237" s="2"/>
      <x:c r="J237" s="2"/>
      <x:c r="K237" s="2"/>
      <x:c r="L237" s="2"/>
      <x:c r="M237" s="2"/>
      <x:c r="N237" s="2"/>
      <x:c r="O237" s="2"/>
      <x:c r="P237" s="2"/>
      <x:c r="Q237" s="2"/>
      <x:c r="R237" s="2"/>
      <x:c r="S237" s="2"/>
      <x:c r="T237" s="2"/>
      <x:c r="U237" s="2"/>
      <x:c r="V237" s="2"/>
    </x:row>
    <x:row r="238" ht="28" customHeight="1">
      <x:c r="A238" s="38" t="str">
        <x:v>C03-R098</x:v>
      </x:c>
      <x:c r="B238" s="38" t="str">
        <x:v>C03</x:v>
      </x:c>
      <x:c r="C238" s="38" t="str">
        <x:v>转弯点</x:v>
      </x:c>
      <x:c r="D238" s="48" t="n">
        <x:v>116.497428</x:v>
      </x:c>
      <x:c r="E238" s="48" t="n">
        <x:v>39.798721</x:v>
      </x:c>
      <x:c r="F238" s="38" t="str">
        <x:v>是</x:v>
      </x:c>
      <x:c r="G238" s="38" t="str">
        <x:v>OSM</x:v>
      </x:c>
      <x:c r="H238" s="38" t="str">
        <x:v>路段转弯点</x:v>
      </x:c>
      <x:c r="I238" s="2"/>
      <x:c r="J238" s="2"/>
      <x:c r="K238" s="2"/>
      <x:c r="L238" s="2"/>
      <x:c r="M238" s="2"/>
      <x:c r="N238" s="2"/>
      <x:c r="O238" s="2"/>
      <x:c r="P238" s="2"/>
      <x:c r="Q238" s="2"/>
      <x:c r="R238" s="2"/>
      <x:c r="S238" s="2"/>
      <x:c r="T238" s="2"/>
      <x:c r="U238" s="2"/>
      <x:c r="V238" s="2"/>
    </x:row>
    <x:row r="239" ht="28" customHeight="1">
      <x:c r="A239" s="38" t="str">
        <x:v>C03-R099</x:v>
      </x:c>
      <x:c r="B239" s="38" t="str">
        <x:v>C03</x:v>
      </x:c>
      <x:c r="C239" s="38" t="str">
        <x:v>转弯点</x:v>
      </x:c>
      <x:c r="D239" s="48" t="n">
        <x:v>116.497383</x:v>
      </x:c>
      <x:c r="E239" s="48" t="n">
        <x:v>39.798625</x:v>
      </x:c>
      <x:c r="F239" s="38" t="str">
        <x:v>是</x:v>
      </x:c>
      <x:c r="G239" s="38" t="str">
        <x:v>OSM</x:v>
      </x:c>
      <x:c r="H239" s="38" t="str">
        <x:v>路段转弯点</x:v>
      </x:c>
      <x:c r="I239" s="2"/>
      <x:c r="J239" s="2"/>
      <x:c r="K239" s="2"/>
      <x:c r="L239" s="2"/>
      <x:c r="M239" s="2"/>
      <x:c r="N239" s="2"/>
      <x:c r="O239" s="2"/>
      <x:c r="P239" s="2"/>
      <x:c r="Q239" s="2"/>
      <x:c r="R239" s="2"/>
      <x:c r="S239" s="2"/>
      <x:c r="T239" s="2"/>
      <x:c r="U239" s="2"/>
      <x:c r="V239" s="2"/>
    </x:row>
    <x:row r="240" ht="28" customHeight="1">
      <x:c r="A240" s="38" t="str">
        <x:v>C03-R100</x:v>
      </x:c>
      <x:c r="B240" s="38" t="str">
        <x:v>C03</x:v>
      </x:c>
      <x:c r="C240" s="38" t="str">
        <x:v>转弯点</x:v>
      </x:c>
      <x:c r="D240" s="48" t="n">
        <x:v>116.497049</x:v>
      </x:c>
      <x:c r="E240" s="48" t="n">
        <x:v>39.798472</x:v>
      </x:c>
      <x:c r="F240" s="38" t="str">
        <x:v>是</x:v>
      </x:c>
      <x:c r="G240" s="38" t="str">
        <x:v>OSM</x:v>
      </x:c>
      <x:c r="H240" s="38" t="str">
        <x:v>路段转弯点</x:v>
      </x:c>
      <x:c r="I240" s="2"/>
      <x:c r="J240" s="2"/>
      <x:c r="K240" s="2"/>
      <x:c r="L240" s="2"/>
      <x:c r="M240" s="2"/>
      <x:c r="N240" s="2"/>
      <x:c r="O240" s="2"/>
      <x:c r="P240" s="2"/>
      <x:c r="Q240" s="2"/>
      <x:c r="R240" s="2"/>
      <x:c r="S240" s="2"/>
      <x:c r="T240" s="2"/>
      <x:c r="U240" s="2"/>
      <x:c r="V240" s="2"/>
    </x:row>
    <x:row r="241" ht="28" customHeight="1">
      <x:c r="A241" s="38" t="str">
        <x:v>C03-R101</x:v>
      </x:c>
      <x:c r="B241" s="38" t="str">
        <x:v>C03</x:v>
      </x:c>
      <x:c r="C241" s="38" t="str">
        <x:v>转弯点</x:v>
      </x:c>
      <x:c r="D241" s="48" t="n">
        <x:v>116.496445</x:v>
      </x:c>
      <x:c r="E241" s="48" t="n">
        <x:v>39.799249</x:v>
      </x:c>
      <x:c r="F241" s="38" t="str">
        <x:v>是</x:v>
      </x:c>
      <x:c r="G241" s="38" t="str">
        <x:v>OSM</x:v>
      </x:c>
      <x:c r="H241" s="38" t="str">
        <x:v>路段转弯点</x:v>
      </x:c>
      <x:c r="I241" s="2"/>
      <x:c r="J241" s="2"/>
      <x:c r="K241" s="2"/>
      <x:c r="L241" s="2"/>
      <x:c r="M241" s="2"/>
      <x:c r="N241" s="2"/>
      <x:c r="O241" s="2"/>
      <x:c r="P241" s="2"/>
      <x:c r="Q241" s="2"/>
      <x:c r="R241" s="2"/>
      <x:c r="S241" s="2"/>
      <x:c r="T241" s="2"/>
      <x:c r="U241" s="2"/>
      <x:c r="V241" s="2"/>
    </x:row>
    <x:row r="242" ht="28" customHeight="1">
      <x:c r="A242" s="38" t="str">
        <x:v>C03-R102</x:v>
      </x:c>
      <x:c r="B242" s="38" t="str">
        <x:v>C03</x:v>
      </x:c>
      <x:c r="C242" s="38" t="str">
        <x:v>端点</x:v>
      </x:c>
      <x:c r="D242" s="48" t="n">
        <x:v>116.497017</x:v>
      </x:c>
      <x:c r="E242" s="48" t="n">
        <x:v>39.799524</x:v>
      </x:c>
      <x:c r="F242" s="38" t="str">
        <x:v>是</x:v>
      </x:c>
      <x:c r="G242" s="38" t="str">
        <x:v>OSM</x:v>
      </x:c>
      <x:c r="H242" s="38" t="str">
        <x:v>小区出入口（与市政道路衔接点）</x:v>
      </x:c>
      <x:c r="I242" s="2"/>
      <x:c r="J242" s="2"/>
      <x:c r="K242" s="2"/>
      <x:c r="L242" s="2"/>
      <x:c r="M242" s="2"/>
      <x:c r="N242" s="2"/>
      <x:c r="O242" s="2"/>
      <x:c r="P242" s="2"/>
      <x:c r="Q242" s="2"/>
      <x:c r="R242" s="2"/>
      <x:c r="S242" s="2"/>
      <x:c r="T242" s="2"/>
      <x:c r="U242" s="2"/>
      <x:c r="V242" s="2"/>
    </x:row>
    <x:row r="243" ht="28" customHeight="1">
      <x:c r="A243" s="38" t="str">
        <x:v>C03-R103</x:v>
      </x:c>
      <x:c r="B243" s="38" t="str">
        <x:v>C03</x:v>
      </x:c>
      <x:c r="C243" s="38" t="str">
        <x:v>交叉口</x:v>
      </x:c>
      <x:c r="D243" s="48" t="n">
        <x:v>116.497846</x:v>
      </x:c>
      <x:c r="E243" s="48" t="n">
        <x:v>39.799606</x:v>
      </x:c>
      <x:c r="F243" s="38" t="str">
        <x:v>是</x:v>
      </x:c>
      <x:c r="G243" s="38" t="str">
        <x:v>OSM</x:v>
      </x:c>
      <x:c r="H243" s="38" t="str">
        <x:v>多路段交汇</x:v>
      </x:c>
      <x:c r="I243" s="2"/>
      <x:c r="J243" s="2"/>
      <x:c r="K243" s="2"/>
      <x:c r="L243" s="2"/>
      <x:c r="M243" s="2"/>
      <x:c r="N243" s="2"/>
      <x:c r="O243" s="2"/>
      <x:c r="P243" s="2"/>
      <x:c r="Q243" s="2"/>
      <x:c r="R243" s="2"/>
      <x:c r="S243" s="2"/>
      <x:c r="T243" s="2"/>
      <x:c r="U243" s="2"/>
      <x:c r="V243" s="2"/>
    </x:row>
    <x:row r="244" ht="28" customHeight="1">
      <x:c r="A244" s="38" t="str">
        <x:v>C03-R104</x:v>
      </x:c>
      <x:c r="B244" s="38" t="str">
        <x:v>C03</x:v>
      </x:c>
      <x:c r="C244" s="38" t="str">
        <x:v>端点</x:v>
      </x:c>
      <x:c r="D244" s="48" t="n">
        <x:v>116.498854</x:v>
      </x:c>
      <x:c r="E244" s="48" t="n">
        <x:v>39.800096</x:v>
      </x:c>
      <x:c r="F244" s="38" t="str">
        <x:v>是</x:v>
      </x:c>
      <x:c r="G244" s="38" t="str">
        <x:v>OSM</x:v>
      </x:c>
      <x:c r="H244" s="38" t="str">
        <x:v>小区出入口（与市政道路衔接点）</x:v>
      </x:c>
      <x:c r="I244" s="2"/>
      <x:c r="J244" s="2"/>
      <x:c r="K244" s="2"/>
      <x:c r="L244" s="2"/>
      <x:c r="M244" s="2"/>
      <x:c r="N244" s="2"/>
      <x:c r="O244" s="2"/>
      <x:c r="P244" s="2"/>
      <x:c r="Q244" s="2"/>
      <x:c r="R244" s="2"/>
      <x:c r="S244" s="2"/>
      <x:c r="T244" s="2"/>
      <x:c r="U244" s="2"/>
      <x:c r="V244" s="2"/>
    </x:row>
    <x:row r="245" ht="28" customHeight="1">
      <x:c r="A245" s="38" t="str">
        <x:v>C03-R105</x:v>
      </x:c>
      <x:c r="B245" s="38" t="str">
        <x:v>C03</x:v>
      </x:c>
      <x:c r="C245" s="38" t="str">
        <x:v>交叉口</x:v>
      </x:c>
      <x:c r="D245" s="48" t="n">
        <x:v>116.494414</x:v>
      </x:c>
      <x:c r="E245" s="48" t="n">
        <x:v>39.803827</x:v>
      </x:c>
      <x:c r="F245" s="38" t="str">
        <x:v>是</x:v>
      </x:c>
      <x:c r="G245" s="38" t="str">
        <x:v>OSM</x:v>
      </x:c>
      <x:c r="H245" s="38" t="str">
        <x:v>多路段交汇</x:v>
      </x:c>
      <x:c r="I245" s="2"/>
      <x:c r="J245" s="2"/>
      <x:c r="K245" s="2"/>
      <x:c r="L245" s="2"/>
      <x:c r="M245" s="2"/>
      <x:c r="N245" s="2"/>
      <x:c r="O245" s="2"/>
      <x:c r="P245" s="2"/>
      <x:c r="Q245" s="2"/>
      <x:c r="R245" s="2"/>
      <x:c r="S245" s="2"/>
      <x:c r="T245" s="2"/>
      <x:c r="U245" s="2"/>
      <x:c r="V245" s="2"/>
    </x:row>
    <x:row r="246" ht="28" customHeight="1">
      <x:c r="A246" s="38" t="str">
        <x:v>C03-R106</x:v>
      </x:c>
      <x:c r="B246" s="38" t="str">
        <x:v>C03</x:v>
      </x:c>
      <x:c r="C246" s="38" t="str">
        <x:v>交叉口</x:v>
      </x:c>
      <x:c r="D246" s="48" t="n">
        <x:v>116.493705</x:v>
      </x:c>
      <x:c r="E246" s="48" t="n">
        <x:v>39.804702</x:v>
      </x:c>
      <x:c r="F246" s="38" t="str">
        <x:v>是</x:v>
      </x:c>
      <x:c r="G246" s="38" t="str">
        <x:v>OSM</x:v>
      </x:c>
      <x:c r="H246" s="38" t="str">
        <x:v>多路段交汇</x:v>
      </x:c>
      <x:c r="I246" s="2"/>
      <x:c r="J246" s="2"/>
      <x:c r="K246" s="2"/>
      <x:c r="L246" s="2"/>
      <x:c r="M246" s="2"/>
      <x:c r="N246" s="2"/>
      <x:c r="O246" s="2"/>
      <x:c r="P246" s="2"/>
      <x:c r="Q246" s="2"/>
      <x:c r="R246" s="2"/>
      <x:c r="S246" s="2"/>
      <x:c r="T246" s="2"/>
      <x:c r="U246" s="2"/>
      <x:c r="V246" s="2"/>
    </x:row>
    <x:row r="247" ht="28" customHeight="1">
      <x:c r="A247" s="38" t="str">
        <x:v>C03-R107</x:v>
      </x:c>
      <x:c r="B247" s="38" t="str">
        <x:v>C03</x:v>
      </x:c>
      <x:c r="C247" s="38" t="str">
        <x:v>交叉口</x:v>
      </x:c>
      <x:c r="D247" s="48" t="n">
        <x:v>116.497022</x:v>
      </x:c>
      <x:c r="E247" s="48" t="n">
        <x:v>39.800379</x:v>
      </x:c>
      <x:c r="F247" s="38" t="str">
        <x:v>是</x:v>
      </x:c>
      <x:c r="G247" s="38" t="str">
        <x:v>OSM</x:v>
      </x:c>
      <x:c r="H247" s="38" t="str">
        <x:v>多路段交汇</x:v>
      </x:c>
      <x:c r="I247" s="2"/>
      <x:c r="J247" s="2"/>
      <x:c r="K247" s="2"/>
      <x:c r="L247" s="2"/>
      <x:c r="M247" s="2"/>
      <x:c r="N247" s="2"/>
      <x:c r="O247" s="2"/>
      <x:c r="P247" s="2"/>
      <x:c r="Q247" s="2"/>
      <x:c r="R247" s="2"/>
      <x:c r="S247" s="2"/>
      <x:c r="T247" s="2"/>
      <x:c r="U247" s="2"/>
      <x:c r="V247" s="2"/>
    </x:row>
    <x:row r="248" ht="28" customHeight="1">
      <x:c r="A248" s="38" t="str">
        <x:v>C03-R108</x:v>
      </x:c>
      <x:c r="B248" s="38" t="str">
        <x:v>C03</x:v>
      </x:c>
      <x:c r="C248" s="38" t="str">
        <x:v>交叉口</x:v>
      </x:c>
      <x:c r="D248" s="48" t="n">
        <x:v>116.497007</x:v>
      </x:c>
      <x:c r="E248" s="48" t="n">
        <x:v>39.800636</x:v>
      </x:c>
      <x:c r="F248" s="38" t="str">
        <x:v>是</x:v>
      </x:c>
      <x:c r="G248" s="38" t="str">
        <x:v>OSM</x:v>
      </x:c>
      <x:c r="H248" s="38" t="str">
        <x:v>多路段交汇</x:v>
      </x:c>
      <x:c r="I248" s="2"/>
      <x:c r="J248" s="2"/>
      <x:c r="K248" s="2"/>
      <x:c r="L248" s="2"/>
      <x:c r="M248" s="2"/>
      <x:c r="N248" s="2"/>
      <x:c r="O248" s="2"/>
      <x:c r="P248" s="2"/>
      <x:c r="Q248" s="2"/>
      <x:c r="R248" s="2"/>
      <x:c r="S248" s="2"/>
      <x:c r="T248" s="2"/>
      <x:c r="U248" s="2"/>
      <x:c r="V248" s="2"/>
    </x:row>
    <x:row r="249" ht="28" customHeight="1">
      <x:c r="A249" s="38" t="str">
        <x:v>C03-R109</x:v>
      </x:c>
      <x:c r="B249" s="38" t="str">
        <x:v>C03</x:v>
      </x:c>
      <x:c r="C249" s="38" t="str">
        <x:v>转弯点</x:v>
      </x:c>
      <x:c r="D249" s="48" t="n">
        <x:v>116.495959</x:v>
      </x:c>
      <x:c r="E249" s="48" t="n">
        <x:v>39.805599</x:v>
      </x:c>
      <x:c r="F249" s="38" t="str">
        <x:v>是</x:v>
      </x:c>
      <x:c r="G249" s="38" t="str">
        <x:v>OSM</x:v>
      </x:c>
      <x:c r="H249" s="38" t="str">
        <x:v>路段转弯点</x:v>
      </x:c>
      <x:c r="I249" s="2"/>
      <x:c r="J249" s="2"/>
      <x:c r="K249" s="2"/>
      <x:c r="L249" s="2"/>
      <x:c r="M249" s="2"/>
      <x:c r="N249" s="2"/>
      <x:c r="O249" s="2"/>
      <x:c r="P249" s="2"/>
      <x:c r="Q249" s="2"/>
      <x:c r="R249" s="2"/>
      <x:c r="S249" s="2"/>
      <x:c r="T249" s="2"/>
      <x:c r="U249" s="2"/>
      <x:c r="V249" s="2"/>
    </x:row>
    <x:row r="250" ht="28" customHeight="1">
      <x:c r="A250" s="38" t="str">
        <x:v>C03-R110</x:v>
      </x:c>
      <x:c r="B250" s="38" t="str">
        <x:v>C03</x:v>
      </x:c>
      <x:c r="C250" s="38" t="str">
        <x:v>交叉口</x:v>
      </x:c>
      <x:c r="D250" s="48" t="n">
        <x:v>116.498373</x:v>
      </x:c>
      <x:c r="E250" s="48" t="n">
        <x:v>39.80668</x:v>
      </x:c>
      <x:c r="F250" s="38" t="str">
        <x:v>是</x:v>
      </x:c>
      <x:c r="G250" s="38" t="str">
        <x:v>OSM</x:v>
      </x:c>
      <x:c r="H250" s="38" t="str">
        <x:v>多路段交汇</x:v>
      </x:c>
      <x:c r="I250" s="2"/>
      <x:c r="J250" s="2"/>
      <x:c r="K250" s="2"/>
      <x:c r="L250" s="2"/>
      <x:c r="M250" s="2"/>
      <x:c r="N250" s="2"/>
      <x:c r="O250" s="2"/>
      <x:c r="P250" s="2"/>
      <x:c r="Q250" s="2"/>
      <x:c r="R250" s="2"/>
      <x:c r="S250" s="2"/>
      <x:c r="T250" s="2"/>
      <x:c r="U250" s="2"/>
      <x:c r="V250" s="2"/>
    </x:row>
    <x:row r="251" ht="28" customHeight="1">
      <x:c r="A251" s="38" t="str">
        <x:v>C03-R111</x:v>
      </x:c>
      <x:c r="B251" s="38" t="str">
        <x:v>C03</x:v>
      </x:c>
      <x:c r="C251" s="38" t="str">
        <x:v>交叉口</x:v>
      </x:c>
      <x:c r="D251" s="48" t="n">
        <x:v>116.498858</x:v>
      </x:c>
      <x:c r="E251" s="48" t="n">
        <x:v>39.798138</x:v>
      </x:c>
      <x:c r="F251" s="38" t="str">
        <x:v>是</x:v>
      </x:c>
      <x:c r="G251" s="38" t="str">
        <x:v>OSM</x:v>
      </x:c>
      <x:c r="H251" s="38" t="str">
        <x:v>多路段交汇</x:v>
      </x:c>
      <x:c r="I251" s="2"/>
      <x:c r="J251" s="2"/>
      <x:c r="K251" s="2"/>
      <x:c r="L251" s="2"/>
      <x:c r="M251" s="2"/>
      <x:c r="N251" s="2"/>
      <x:c r="O251" s="2"/>
      <x:c r="P251" s="2"/>
      <x:c r="Q251" s="2"/>
      <x:c r="R251" s="2"/>
      <x:c r="S251" s="2"/>
      <x:c r="T251" s="2"/>
      <x:c r="U251" s="2"/>
      <x:c r="V251" s="2"/>
    </x:row>
    <x:row r="252" ht="28" customHeight="1">
      <x:c r="A252" s="38" t="str">
        <x:v>C03-R112</x:v>
      </x:c>
      <x:c r="B252" s="38" t="str">
        <x:v>C03</x:v>
      </x:c>
      <x:c r="C252" s="38" t="str">
        <x:v>端点</x:v>
      </x:c>
      <x:c r="D252" s="48" t="n">
        <x:v>116.498654</x:v>
      </x:c>
      <x:c r="E252" s="48" t="n">
        <x:v>39.798043</x:v>
      </x:c>
      <x:c r="F252" s="38" t="str">
        <x:v>是</x:v>
      </x:c>
      <x:c r="G252" s="38" t="str">
        <x:v>OSM</x:v>
      </x:c>
      <x:c r="H252" s="38" t="str">
        <x:v>小区出入口（与市政道路衔接点）</x:v>
      </x:c>
      <x:c r="I252" s="2"/>
      <x:c r="J252" s="2"/>
      <x:c r="K252" s="2"/>
      <x:c r="L252" s="2"/>
      <x:c r="M252" s="2"/>
      <x:c r="N252" s="2"/>
      <x:c r="O252" s="2"/>
      <x:c r="P252" s="2"/>
      <x:c r="Q252" s="2"/>
      <x:c r="R252" s="2"/>
      <x:c r="S252" s="2"/>
      <x:c r="T252" s="2"/>
      <x:c r="U252" s="2"/>
      <x:c r="V252" s="2"/>
    </x:row>
    <x:row r="253" ht="28" customHeight="1">
      <x:c r="A253" s="38" t="str">
        <x:v>C03-R113</x:v>
      </x:c>
      <x:c r="B253" s="38" t="str">
        <x:v>C03</x:v>
      </x:c>
      <x:c r="C253" s="38" t="str">
        <x:v>交叉口</x:v>
      </x:c>
      <x:c r="D253" s="48" t="n">
        <x:v>116.498989</x:v>
      </x:c>
      <x:c r="E253" s="48" t="n">
        <x:v>39.798204</x:v>
      </x:c>
      <x:c r="F253" s="38" t="str">
        <x:v>是</x:v>
      </x:c>
      <x:c r="G253" s="38" t="str">
        <x:v>OSM</x:v>
      </x:c>
      <x:c r="H253" s="38" t="str">
        <x:v>多路段交汇</x:v>
      </x:c>
      <x:c r="I253" s="2"/>
      <x:c r="J253" s="2"/>
      <x:c r="K253" s="2"/>
      <x:c r="L253" s="2"/>
      <x:c r="M253" s="2"/>
      <x:c r="N253" s="2"/>
      <x:c r="O253" s="2"/>
      <x:c r="P253" s="2"/>
      <x:c r="Q253" s="2"/>
      <x:c r="R253" s="2"/>
      <x:c r="S253" s="2"/>
      <x:c r="T253" s="2"/>
      <x:c r="U253" s="2"/>
      <x:c r="V253" s="2"/>
    </x:row>
    <x:row r="254" ht="28" customHeight="1">
      <x:c r="A254" s="38" t="str">
        <x:v>C03-R114</x:v>
      </x:c>
      <x:c r="B254" s="38" t="str">
        <x:v>C03</x:v>
      </x:c>
      <x:c r="C254" s="38" t="str">
        <x:v>转弯点</x:v>
      </x:c>
      <x:c r="D254" s="48" t="n">
        <x:v>116.499724</x:v>
      </x:c>
      <x:c r="E254" s="48" t="n">
        <x:v>39.798559</x:v>
      </x:c>
      <x:c r="F254" s="38" t="str">
        <x:v>是</x:v>
      </x:c>
      <x:c r="G254" s="38" t="str">
        <x:v>OSM</x:v>
      </x:c>
      <x:c r="H254" s="38" t="str">
        <x:v>路段转弯点</x:v>
      </x:c>
      <x:c r="I254" s="2"/>
      <x:c r="J254" s="2"/>
      <x:c r="K254" s="2"/>
      <x:c r="L254" s="2"/>
      <x:c r="M254" s="2"/>
      <x:c r="N254" s="2"/>
      <x:c r="O254" s="2"/>
      <x:c r="P254" s="2"/>
      <x:c r="Q254" s="2"/>
      <x:c r="R254" s="2"/>
      <x:c r="S254" s="2"/>
      <x:c r="T254" s="2"/>
      <x:c r="U254" s="2"/>
      <x:c r="V254" s="2"/>
    </x:row>
    <x:row r="255" ht="28" customHeight="1">
      <x:c r="A255" s="38" t="str">
        <x:v>C03-R115</x:v>
      </x:c>
      <x:c r="B255" s="38" t="str">
        <x:v>C03</x:v>
      </x:c>
      <x:c r="C255" s="38" t="str">
        <x:v>交叉口</x:v>
      </x:c>
      <x:c r="D255" s="48" t="n">
        <x:v>116.501738</x:v>
      </x:c>
      <x:c r="E255" s="48" t="n">
        <x:v>39.799529</x:v>
      </x:c>
      <x:c r="F255" s="38" t="str">
        <x:v>是</x:v>
      </x:c>
      <x:c r="G255" s="38" t="str">
        <x:v>OSM</x:v>
      </x:c>
      <x:c r="H255" s="38" t="str">
        <x:v>多路段交汇</x:v>
      </x:c>
      <x:c r="I255" s="2"/>
      <x:c r="J255" s="2"/>
      <x:c r="K255" s="2"/>
      <x:c r="L255" s="2"/>
      <x:c r="M255" s="2"/>
      <x:c r="N255" s="2"/>
      <x:c r="O255" s="2"/>
      <x:c r="P255" s="2"/>
      <x:c r="Q255" s="2"/>
      <x:c r="R255" s="2"/>
      <x:c r="S255" s="2"/>
      <x:c r="T255" s="2"/>
      <x:c r="U255" s="2"/>
      <x:c r="V255" s="2"/>
    </x:row>
    <x:row r="256" ht="28" customHeight="1">
      <x:c r="A256" s="38" t="str">
        <x:v>C03-R116</x:v>
      </x:c>
      <x:c r="B256" s="38" t="str">
        <x:v>C03</x:v>
      </x:c>
      <x:c r="C256" s="38" t="str">
        <x:v>转弯点</x:v>
      </x:c>
      <x:c r="D256" s="48" t="n">
        <x:v>116.501875</x:v>
      </x:c>
      <x:c r="E256" s="48" t="n">
        <x:v>39.799595</x:v>
      </x:c>
      <x:c r="F256" s="38" t="str">
        <x:v>是</x:v>
      </x:c>
      <x:c r="G256" s="38" t="str">
        <x:v>OSM</x:v>
      </x:c>
      <x:c r="H256" s="38" t="str">
        <x:v>路段转弯点</x:v>
      </x:c>
      <x:c r="I256" s="2"/>
      <x:c r="J256" s="2"/>
      <x:c r="K256" s="2"/>
      <x:c r="L256" s="2"/>
      <x:c r="M256" s="2"/>
      <x:c r="N256" s="2"/>
      <x:c r="O256" s="2"/>
      <x:c r="P256" s="2"/>
      <x:c r="Q256" s="2"/>
      <x:c r="R256" s="2"/>
      <x:c r="S256" s="2"/>
      <x:c r="T256" s="2"/>
      <x:c r="U256" s="2"/>
      <x:c r="V256" s="2"/>
    </x:row>
    <x:row r="257" ht="28" customHeight="1">
      <x:c r="A257" s="38" t="str">
        <x:v>C03-R117</x:v>
      </x:c>
      <x:c r="B257" s="38" t="str">
        <x:v>C03</x:v>
      </x:c>
      <x:c r="C257" s="38" t="str">
        <x:v>转弯点</x:v>
      </x:c>
      <x:c r="D257" s="48" t="n">
        <x:v>116.504814</x:v>
      </x:c>
      <x:c r="E257" s="48" t="n">
        <x:v>39.801015</x:v>
      </x:c>
      <x:c r="F257" s="38" t="str">
        <x:v>是</x:v>
      </x:c>
      <x:c r="G257" s="38" t="str">
        <x:v>OSM</x:v>
      </x:c>
      <x:c r="H257" s="38" t="str">
        <x:v>路段转弯点</x:v>
      </x:c>
      <x:c r="I257" s="2"/>
      <x:c r="J257" s="2"/>
      <x:c r="K257" s="2"/>
      <x:c r="L257" s="2"/>
      <x:c r="M257" s="2"/>
      <x:c r="N257" s="2"/>
      <x:c r="O257" s="2"/>
      <x:c r="P257" s="2"/>
      <x:c r="Q257" s="2"/>
      <x:c r="R257" s="2"/>
      <x:c r="S257" s="2"/>
      <x:c r="T257" s="2"/>
      <x:c r="U257" s="2"/>
      <x:c r="V257" s="2"/>
    </x:row>
    <x:row r="258" ht="28" customHeight="1">
      <x:c r="A258" s="38" t="str">
        <x:v>C03-R118</x:v>
      </x:c>
      <x:c r="B258" s="38" t="str">
        <x:v>C03</x:v>
      </x:c>
      <x:c r="C258" s="38" t="str">
        <x:v>转弯点</x:v>
      </x:c>
      <x:c r="D258" s="48" t="n">
        <x:v>116.505586</x:v>
      </x:c>
      <x:c r="E258" s="48" t="n">
        <x:v>39.801392</x:v>
      </x:c>
      <x:c r="F258" s="38" t="str">
        <x:v>是</x:v>
      </x:c>
      <x:c r="G258" s="38" t="str">
        <x:v>OSM</x:v>
      </x:c>
      <x:c r="H258" s="38" t="str">
        <x:v>路段转弯点</x:v>
      </x:c>
      <x:c r="I258" s="2"/>
      <x:c r="J258" s="2"/>
      <x:c r="K258" s="2"/>
      <x:c r="L258" s="2"/>
      <x:c r="M258" s="2"/>
      <x:c r="N258" s="2"/>
      <x:c r="O258" s="2"/>
      <x:c r="P258" s="2"/>
      <x:c r="Q258" s="2"/>
      <x:c r="R258" s="2"/>
      <x:c r="S258" s="2"/>
      <x:c r="T258" s="2"/>
      <x:c r="U258" s="2"/>
      <x:c r="V258" s="2"/>
    </x:row>
    <x:row r="259" ht="28" customHeight="1">
      <x:c r="A259" s="38" t="str">
        <x:v>C03-R119</x:v>
      </x:c>
      <x:c r="B259" s="38" t="str">
        <x:v>C03</x:v>
      </x:c>
      <x:c r="C259" s="38" t="str">
        <x:v>转弯点</x:v>
      </x:c>
      <x:c r="D259" s="48" t="n">
        <x:v>116.505667</x:v>
      </x:c>
      <x:c r="E259" s="48" t="n">
        <x:v>39.801426</x:v>
      </x:c>
      <x:c r="F259" s="38" t="str">
        <x:v>是</x:v>
      </x:c>
      <x:c r="G259" s="38" t="str">
        <x:v>OSM</x:v>
      </x:c>
      <x:c r="H259" s="38" t="str">
        <x:v>路段转弯点</x:v>
      </x:c>
      <x:c r="I259" s="2"/>
      <x:c r="J259" s="2"/>
      <x:c r="K259" s="2"/>
      <x:c r="L259" s="2"/>
      <x:c r="M259" s="2"/>
      <x:c r="N259" s="2"/>
      <x:c r="O259" s="2"/>
      <x:c r="P259" s="2"/>
      <x:c r="Q259" s="2"/>
      <x:c r="R259" s="2"/>
      <x:c r="S259" s="2"/>
      <x:c r="T259" s="2"/>
      <x:c r="U259" s="2"/>
      <x:c r="V259" s="2"/>
    </x:row>
    <x:row r="260" ht="28" customHeight="1">
      <x:c r="A260" s="38" t="str">
        <x:v>C03-R120</x:v>
      </x:c>
      <x:c r="B260" s="38" t="str">
        <x:v>C03</x:v>
      </x:c>
      <x:c r="C260" s="38" t="str">
        <x:v>转弯点</x:v>
      </x:c>
      <x:c r="D260" s="48" t="n">
        <x:v>116.507733</x:v>
      </x:c>
      <x:c r="E260" s="48" t="n">
        <x:v>39.802426</x:v>
      </x:c>
      <x:c r="F260" s="38" t="str">
        <x:v>是</x:v>
      </x:c>
      <x:c r="G260" s="38" t="str">
        <x:v>OSM</x:v>
      </x:c>
      <x:c r="H260" s="38" t="str">
        <x:v>路段转弯点</x:v>
      </x:c>
      <x:c r="I260" s="2"/>
      <x:c r="J260" s="2"/>
      <x:c r="K260" s="2"/>
      <x:c r="L260" s="2"/>
      <x:c r="M260" s="2"/>
      <x:c r="N260" s="2"/>
      <x:c r="O260" s="2"/>
      <x:c r="P260" s="2"/>
      <x:c r="Q260" s="2"/>
      <x:c r="R260" s="2"/>
      <x:c r="S260" s="2"/>
      <x:c r="T260" s="2"/>
      <x:c r="U260" s="2"/>
      <x:c r="V260" s="2"/>
    </x:row>
    <x:row r="261" ht="28" customHeight="1">
      <x:c r="A261" s="38" t="str">
        <x:v>C03-R121</x:v>
      </x:c>
      <x:c r="B261" s="38" t="str">
        <x:v>C03</x:v>
      </x:c>
      <x:c r="C261" s="38" t="str">
        <x:v>转弯点</x:v>
      </x:c>
      <x:c r="D261" s="48" t="n">
        <x:v>116.509458</x:v>
      </x:c>
      <x:c r="E261" s="48" t="n">
        <x:v>39.803259</x:v>
      </x:c>
      <x:c r="F261" s="38" t="str">
        <x:v>是</x:v>
      </x:c>
      <x:c r="G261" s="38" t="str">
        <x:v>OSM</x:v>
      </x:c>
      <x:c r="H261" s="38" t="str">
        <x:v>路段转弯点</x:v>
      </x:c>
      <x:c r="I261" s="2"/>
      <x:c r="J261" s="2"/>
      <x:c r="K261" s="2"/>
      <x:c r="L261" s="2"/>
      <x:c r="M261" s="2"/>
      <x:c r="N261" s="2"/>
      <x:c r="O261" s="2"/>
      <x:c r="P261" s="2"/>
      <x:c r="Q261" s="2"/>
      <x:c r="R261" s="2"/>
      <x:c r="S261" s="2"/>
      <x:c r="T261" s="2"/>
      <x:c r="U261" s="2"/>
      <x:c r="V261" s="2"/>
    </x:row>
    <x:row r="262" ht="28" customHeight="1">
      <x:c r="A262" s="38" t="str">
        <x:v>C03-R122</x:v>
      </x:c>
      <x:c r="B262" s="38" t="str">
        <x:v>C03</x:v>
      </x:c>
      <x:c r="C262" s="38" t="str">
        <x:v>转弯点</x:v>
      </x:c>
      <x:c r="D262" s="48" t="n">
        <x:v>116.511139</x:v>
      </x:c>
      <x:c r="E262" s="48" t="n">
        <x:v>39.804071</x:v>
      </x:c>
      <x:c r="F262" s="38" t="str">
        <x:v>是</x:v>
      </x:c>
      <x:c r="G262" s="38" t="str">
        <x:v>OSM</x:v>
      </x:c>
      <x:c r="H262" s="38" t="str">
        <x:v>路段转弯点</x:v>
      </x:c>
      <x:c r="I262" s="2"/>
      <x:c r="J262" s="2"/>
      <x:c r="K262" s="2"/>
      <x:c r="L262" s="2"/>
      <x:c r="M262" s="2"/>
      <x:c r="N262" s="2"/>
      <x:c r="O262" s="2"/>
      <x:c r="P262" s="2"/>
      <x:c r="Q262" s="2"/>
      <x:c r="R262" s="2"/>
      <x:c r="S262" s="2"/>
      <x:c r="T262" s="2"/>
      <x:c r="U262" s="2"/>
      <x:c r="V262" s="2"/>
    </x:row>
    <x:row r="263" ht="28" customHeight="1">
      <x:c r="A263" s="38" t="str">
        <x:v>C03-R123</x:v>
      </x:c>
      <x:c r="B263" s="38" t="str">
        <x:v>C03</x:v>
      </x:c>
      <x:c r="C263" s="38" t="str">
        <x:v>转弯点</x:v>
      </x:c>
      <x:c r="D263" s="48" t="n">
        <x:v>116.512651</x:v>
      </x:c>
      <x:c r="E263" s="48" t="n">
        <x:v>39.804845</x:v>
      </x:c>
      <x:c r="F263" s="38" t="str">
        <x:v>是</x:v>
      </x:c>
      <x:c r="G263" s="38" t="str">
        <x:v>OSM</x:v>
      </x:c>
      <x:c r="H263" s="38" t="str">
        <x:v>路段转弯点</x:v>
      </x:c>
      <x:c r="I263" s="2"/>
      <x:c r="J263" s="2"/>
      <x:c r="K263" s="2"/>
      <x:c r="L263" s="2"/>
      <x:c r="M263" s="2"/>
      <x:c r="N263" s="2"/>
      <x:c r="O263" s="2"/>
      <x:c r="P263" s="2"/>
      <x:c r="Q263" s="2"/>
      <x:c r="R263" s="2"/>
      <x:c r="S263" s="2"/>
      <x:c r="T263" s="2"/>
      <x:c r="U263" s="2"/>
      <x:c r="V263" s="2"/>
    </x:row>
    <x:row r="264" ht="28" customHeight="1">
      <x:c r="A264" s="38" t="str">
        <x:v>C03-R124</x:v>
      </x:c>
      <x:c r="B264" s="38" t="str">
        <x:v>C03</x:v>
      </x:c>
      <x:c r="C264" s="38" t="str">
        <x:v>端点</x:v>
      </x:c>
      <x:c r="D264" s="48" t="n">
        <x:v>116.512777</x:v>
      </x:c>
      <x:c r="E264" s="48" t="n">
        <x:v>39.804909</x:v>
      </x:c>
      <x:c r="F264" s="38" t="str">
        <x:v>是</x:v>
      </x:c>
      <x:c r="G264" s="38" t="str">
        <x:v>OSM</x:v>
      </x:c>
      <x:c r="H264" s="38" t="str">
        <x:v>小区出入口（与市政道路衔接点）</x:v>
      </x:c>
      <x:c r="I264" s="2"/>
      <x:c r="J264" s="2"/>
      <x:c r="K264" s="2"/>
      <x:c r="L264" s="2"/>
      <x:c r="M264" s="2"/>
      <x:c r="N264" s="2"/>
      <x:c r="O264" s="2"/>
      <x:c r="P264" s="2"/>
      <x:c r="Q264" s="2"/>
      <x:c r="R264" s="2"/>
      <x:c r="S264" s="2"/>
      <x:c r="T264" s="2"/>
      <x:c r="U264" s="2"/>
      <x:c r="V264" s="2"/>
    </x:row>
    <x:row r="265" ht="28" customHeight="1">
      <x:c r="A265" s="38" t="str">
        <x:v>C03-R125</x:v>
      </x:c>
      <x:c r="B265" s="38" t="str">
        <x:v>C03</x:v>
      </x:c>
      <x:c r="C265" s="38" t="str">
        <x:v>端点</x:v>
      </x:c>
      <x:c r="D265" s="48" t="n">
        <x:v>116.504352</x:v>
      </x:c>
      <x:c r="E265" s="48" t="n">
        <x:v>39.796324</x:v>
      </x:c>
      <x:c r="F265" s="38" t="str">
        <x:v>是</x:v>
      </x:c>
      <x:c r="G265" s="38" t="str">
        <x:v>OSM</x:v>
      </x:c>
      <x:c r="H265" s="38" t="str">
        <x:v>小区出入口（与市政道路衔接点）</x:v>
      </x:c>
      <x:c r="I265" s="2"/>
      <x:c r="J265" s="2"/>
      <x:c r="K265" s="2"/>
      <x:c r="L265" s="2"/>
      <x:c r="M265" s="2"/>
      <x:c r="N265" s="2"/>
      <x:c r="O265" s="2"/>
      <x:c r="P265" s="2"/>
      <x:c r="Q265" s="2"/>
      <x:c r="R265" s="2"/>
      <x:c r="S265" s="2"/>
      <x:c r="T265" s="2"/>
      <x:c r="U265" s="2"/>
      <x:c r="V265" s="2"/>
    </x:row>
    <x:row r="266" ht="28" customHeight="1">
      <x:c r="A266" s="38" t="str">
        <x:v>C03-R126</x:v>
      </x:c>
      <x:c r="B266" s="38" t="str">
        <x:v>C03</x:v>
      </x:c>
      <x:c r="C266" s="38" t="str">
        <x:v>转弯点</x:v>
      </x:c>
      <x:c r="D266" s="48" t="n">
        <x:v>116.502856</x:v>
      </x:c>
      <x:c r="E266" s="48" t="n">
        <x:v>39.798159</x:v>
      </x:c>
      <x:c r="F266" s="38" t="str">
        <x:v>是</x:v>
      </x:c>
      <x:c r="G266" s="38" t="str">
        <x:v>OSM</x:v>
      </x:c>
      <x:c r="H266" s="38" t="str">
        <x:v>路段转弯点</x:v>
      </x:c>
      <x:c r="I266" s="2"/>
      <x:c r="J266" s="2"/>
      <x:c r="K266" s="2"/>
      <x:c r="L266" s="2"/>
      <x:c r="M266" s="2"/>
      <x:c r="N266" s="2"/>
      <x:c r="O266" s="2"/>
      <x:c r="P266" s="2"/>
      <x:c r="Q266" s="2"/>
      <x:c r="R266" s="2"/>
      <x:c r="S266" s="2"/>
      <x:c r="T266" s="2"/>
      <x:c r="U266" s="2"/>
      <x:c r="V266" s="2"/>
    </x:row>
    <x:row r="267" ht="28" customHeight="1">
      <x:c r="A267" s="38" t="str">
        <x:v>C03-R127</x:v>
      </x:c>
      <x:c r="B267" s="38" t="str">
        <x:v>C03</x:v>
      </x:c>
      <x:c r="C267" s="38" t="str">
        <x:v>转弯点</x:v>
      </x:c>
      <x:c r="D267" s="48" t="n">
        <x:v>116.502678</x:v>
      </x:c>
      <x:c r="E267" s="48" t="n">
        <x:v>39.798374</x:v>
      </x:c>
      <x:c r="F267" s="38" t="str">
        <x:v>是</x:v>
      </x:c>
      <x:c r="G267" s="38" t="str">
        <x:v>OSM</x:v>
      </x:c>
      <x:c r="H267" s="38" t="str">
        <x:v>路段转弯点</x:v>
      </x:c>
      <x:c r="I267" s="2"/>
      <x:c r="J267" s="2"/>
      <x:c r="K267" s="2"/>
      <x:c r="L267" s="2"/>
      <x:c r="M267" s="2"/>
      <x:c r="N267" s="2"/>
      <x:c r="O267" s="2"/>
      <x:c r="P267" s="2"/>
      <x:c r="Q267" s="2"/>
      <x:c r="R267" s="2"/>
      <x:c r="S267" s="2"/>
      <x:c r="T267" s="2"/>
      <x:c r="U267" s="2"/>
      <x:c r="V267" s="2"/>
    </x:row>
    <x:row r="268" ht="28" customHeight="1">
      <x:c r="A268" s="38" t="str">
        <x:v>C03-R128</x:v>
      </x:c>
      <x:c r="B268" s="38" t="str">
        <x:v>C03</x:v>
      </x:c>
      <x:c r="C268" s="38" t="str">
        <x:v>转弯点</x:v>
      </x:c>
      <x:c r="D268" s="48" t="n">
        <x:v>116.500531</x:v>
      </x:c>
      <x:c r="E268" s="48" t="n">
        <x:v>39.801</x:v>
      </x:c>
      <x:c r="F268" s="38" t="str">
        <x:v>是</x:v>
      </x:c>
      <x:c r="G268" s="38" t="str">
        <x:v>OSM</x:v>
      </x:c>
      <x:c r="H268" s="38" t="str">
        <x:v>路段转弯点</x:v>
      </x:c>
      <x:c r="I268" s="2"/>
      <x:c r="J268" s="2"/>
      <x:c r="K268" s="2"/>
      <x:c r="L268" s="2"/>
      <x:c r="M268" s="2"/>
      <x:c r="N268" s="2"/>
      <x:c r="O268" s="2"/>
      <x:c r="P268" s="2"/>
      <x:c r="Q268" s="2"/>
      <x:c r="R268" s="2"/>
      <x:c r="S268" s="2"/>
      <x:c r="T268" s="2"/>
      <x:c r="U268" s="2"/>
      <x:c r="V268" s="2"/>
    </x:row>
    <x:row r="269" ht="28" customHeight="1">
      <x:c r="A269" s="38" t="str">
        <x:v>C03-R129</x:v>
      </x:c>
      <x:c r="B269" s="38" t="str">
        <x:v>C03</x:v>
      </x:c>
      <x:c r="C269" s="38" t="str">
        <x:v>转弯点</x:v>
      </x:c>
      <x:c r="D269" s="48" t="n">
        <x:v>116.5002</x:v>
      </x:c>
      <x:c r="E269" s="48" t="n">
        <x:v>39.801418</x:v>
      </x:c>
      <x:c r="F269" s="38" t="str">
        <x:v>是</x:v>
      </x:c>
      <x:c r="G269" s="38" t="str">
        <x:v>OSM</x:v>
      </x:c>
      <x:c r="H269" s="38" t="str">
        <x:v>路段转弯点</x:v>
      </x:c>
      <x:c r="I269" s="2"/>
      <x:c r="J269" s="2"/>
      <x:c r="K269" s="2"/>
      <x:c r="L269" s="2"/>
      <x:c r="M269" s="2"/>
      <x:c r="N269" s="2"/>
      <x:c r="O269" s="2"/>
      <x:c r="P269" s="2"/>
      <x:c r="Q269" s="2"/>
      <x:c r="R269" s="2"/>
      <x:c r="S269" s="2"/>
      <x:c r="T269" s="2"/>
      <x:c r="U269" s="2"/>
      <x:c r="V269" s="2"/>
    </x:row>
    <x:row r="270" ht="28" customHeight="1">
      <x:c r="A270" s="38" t="str">
        <x:v>C03-R130</x:v>
      </x:c>
      <x:c r="B270" s="38" t="str">
        <x:v>C03</x:v>
      </x:c>
      <x:c r="C270" s="38" t="str">
        <x:v>端点</x:v>
      </x:c>
      <x:c r="D270" s="48" t="n">
        <x:v>116.509101</x:v>
      </x:c>
      <x:c r="E270" s="48" t="n">
        <x:v>39.785725</x:v>
      </x:c>
      <x:c r="F270" s="38" t="str">
        <x:v>是</x:v>
      </x:c>
      <x:c r="G270" s="38" t="str">
        <x:v>OSM</x:v>
      </x:c>
      <x:c r="H270" s="38" t="str">
        <x:v>小区出入口（与市政道路衔接点）</x:v>
      </x:c>
      <x:c r="I270" s="2"/>
      <x:c r="J270" s="2"/>
      <x:c r="K270" s="2"/>
      <x:c r="L270" s="2"/>
      <x:c r="M270" s="2"/>
      <x:c r="N270" s="2"/>
      <x:c r="O270" s="2"/>
      <x:c r="P270" s="2"/>
      <x:c r="Q270" s="2"/>
      <x:c r="R270" s="2"/>
      <x:c r="S270" s="2"/>
      <x:c r="T270" s="2"/>
      <x:c r="U270" s="2"/>
      <x:c r="V270" s="2"/>
    </x:row>
    <x:row r="271" ht="28" customHeight="1">
      <x:c r="A271" s="38" t="str">
        <x:v>C03-R131</x:v>
      </x:c>
      <x:c r="B271" s="38" t="str">
        <x:v>C03</x:v>
      </x:c>
      <x:c r="C271" s="38" t="str">
        <x:v>转弯点</x:v>
      </x:c>
      <x:c r="D271" s="48" t="n">
        <x:v>116.507253</x:v>
      </x:c>
      <x:c r="E271" s="48" t="n">
        <x:v>39.787978</x:v>
      </x:c>
      <x:c r="F271" s="38" t="str">
        <x:v>是</x:v>
      </x:c>
      <x:c r="G271" s="38" t="str">
        <x:v>OSM</x:v>
      </x:c>
      <x:c r="H271" s="38" t="str">
        <x:v>路段转弯点</x:v>
      </x:c>
      <x:c r="I271" s="2"/>
      <x:c r="J271" s="2"/>
      <x:c r="K271" s="2"/>
      <x:c r="L271" s="2"/>
      <x:c r="M271" s="2"/>
      <x:c r="N271" s="2"/>
      <x:c r="O271" s="2"/>
      <x:c r="P271" s="2"/>
      <x:c r="Q271" s="2"/>
      <x:c r="R271" s="2"/>
      <x:c r="S271" s="2"/>
      <x:c r="T271" s="2"/>
      <x:c r="U271" s="2"/>
      <x:c r="V271" s="2"/>
    </x:row>
    <x:row r="272" ht="28" customHeight="1">
      <x:c r="A272" s="38" t="str">
        <x:v>C03-R132</x:v>
      </x:c>
      <x:c r="B272" s="38" t="str">
        <x:v>C03</x:v>
      </x:c>
      <x:c r="C272" s="38" t="str">
        <x:v>转弯点</x:v>
      </x:c>
      <x:c r="D272" s="48" t="n">
        <x:v>116.506661</x:v>
      </x:c>
      <x:c r="E272" s="48" t="n">
        <x:v>39.788738</x:v>
      </x:c>
      <x:c r="F272" s="38" t="str">
        <x:v>是</x:v>
      </x:c>
      <x:c r="G272" s="38" t="str">
        <x:v>OSM</x:v>
      </x:c>
      <x:c r="H272" s="38" t="str">
        <x:v>路段转弯点</x:v>
      </x:c>
      <x:c r="I272" s="2"/>
      <x:c r="J272" s="2"/>
      <x:c r="K272" s="2"/>
      <x:c r="L272" s="2"/>
      <x:c r="M272" s="2"/>
      <x:c r="N272" s="2"/>
      <x:c r="O272" s="2"/>
      <x:c r="P272" s="2"/>
      <x:c r="Q272" s="2"/>
      <x:c r="R272" s="2"/>
      <x:c r="S272" s="2"/>
      <x:c r="T272" s="2"/>
      <x:c r="U272" s="2"/>
      <x:c r="V272" s="2"/>
    </x:row>
    <x:row r="273" ht="28" customHeight="1">
      <x:c r="A273" s="38" t="str">
        <x:v>C03-R133</x:v>
      </x:c>
      <x:c r="B273" s="38" t="str">
        <x:v>C03</x:v>
      </x:c>
      <x:c r="C273" s="38" t="str">
        <x:v>转弯点</x:v>
      </x:c>
      <x:c r="D273" s="48" t="n">
        <x:v>116.504857</x:v>
      </x:c>
      <x:c r="E273" s="48" t="n">
        <x:v>39.790917</x:v>
      </x:c>
      <x:c r="F273" s="38" t="str">
        <x:v>是</x:v>
      </x:c>
      <x:c r="G273" s="38" t="str">
        <x:v>OSM</x:v>
      </x:c>
      <x:c r="H273" s="38" t="str">
        <x:v>路段转弯点</x:v>
      </x:c>
      <x:c r="I273" s="2"/>
      <x:c r="J273" s="2"/>
      <x:c r="K273" s="2"/>
      <x:c r="L273" s="2"/>
      <x:c r="M273" s="2"/>
      <x:c r="N273" s="2"/>
      <x:c r="O273" s="2"/>
      <x:c r="P273" s="2"/>
      <x:c r="Q273" s="2"/>
      <x:c r="R273" s="2"/>
      <x:c r="S273" s="2"/>
      <x:c r="T273" s="2"/>
      <x:c r="U273" s="2"/>
      <x:c r="V273" s="2"/>
    </x:row>
    <x:row r="274" ht="28" customHeight="1">
      <x:c r="A274" s="38" t="str">
        <x:v>C03-R134</x:v>
      </x:c>
      <x:c r="B274" s="38" t="str">
        <x:v>C03</x:v>
      </x:c>
      <x:c r="C274" s="38" t="str">
        <x:v>转弯点</x:v>
      </x:c>
      <x:c r="D274" s="48" t="n">
        <x:v>116.504397</x:v>
      </x:c>
      <x:c r="E274" s="48" t="n">
        <x:v>39.791482</x:v>
      </x:c>
      <x:c r="F274" s="38" t="str">
        <x:v>是</x:v>
      </x:c>
      <x:c r="G274" s="38" t="str">
        <x:v>OSM</x:v>
      </x:c>
      <x:c r="H274" s="38" t="str">
        <x:v>路段转弯点</x:v>
      </x:c>
      <x:c r="I274" s="2"/>
      <x:c r="J274" s="2"/>
      <x:c r="K274" s="2"/>
      <x:c r="L274" s="2"/>
      <x:c r="M274" s="2"/>
      <x:c r="N274" s="2"/>
      <x:c r="O274" s="2"/>
      <x:c r="P274" s="2"/>
      <x:c r="Q274" s="2"/>
      <x:c r="R274" s="2"/>
      <x:c r="S274" s="2"/>
      <x:c r="T274" s="2"/>
      <x:c r="U274" s="2"/>
      <x:c r="V274" s="2"/>
    </x:row>
    <x:row r="275" ht="28" customHeight="1">
      <x:c r="A275" s="38" t="str">
        <x:v>C03-R135</x:v>
      </x:c>
      <x:c r="B275" s="38" t="str">
        <x:v>C03</x:v>
      </x:c>
      <x:c r="C275" s="38" t="str">
        <x:v>转弯点</x:v>
      </x:c>
      <x:c r="D275" s="48" t="n">
        <x:v>116.504315</x:v>
      </x:c>
      <x:c r="E275" s="48" t="n">
        <x:v>39.791581</x:v>
      </x:c>
      <x:c r="F275" s="38" t="str">
        <x:v>是</x:v>
      </x:c>
      <x:c r="G275" s="38" t="str">
        <x:v>OSM</x:v>
      </x:c>
      <x:c r="H275" s="38" t="str">
        <x:v>路段转弯点</x:v>
      </x:c>
      <x:c r="I275" s="2"/>
      <x:c r="J275" s="2"/>
      <x:c r="K275" s="2"/>
      <x:c r="L275" s="2"/>
      <x:c r="M275" s="2"/>
      <x:c r="N275" s="2"/>
      <x:c r="O275" s="2"/>
      <x:c r="P275" s="2"/>
      <x:c r="Q275" s="2"/>
      <x:c r="R275" s="2"/>
      <x:c r="S275" s="2"/>
      <x:c r="T275" s="2"/>
      <x:c r="U275" s="2"/>
      <x:c r="V275" s="2"/>
    </x:row>
    <x:row r="276" ht="28" customHeight="1">
      <x:c r="A276" s="38" t="str">
        <x:v>C03-R136</x:v>
      </x:c>
      <x:c r="B276" s="38" t="str">
        <x:v>C03</x:v>
      </x:c>
      <x:c r="C276" s="38" t="str">
        <x:v>转弯点</x:v>
      </x:c>
      <x:c r="D276" s="48" t="n">
        <x:v>116.504211</x:v>
      </x:c>
      <x:c r="E276" s="48" t="n">
        <x:v>39.791728</x:v>
      </x:c>
      <x:c r="F276" s="38" t="str">
        <x:v>是</x:v>
      </x:c>
      <x:c r="G276" s="38" t="str">
        <x:v>OSM</x:v>
      </x:c>
      <x:c r="H276" s="38" t="str">
        <x:v>路段转弯点</x:v>
      </x:c>
      <x:c r="I276" s="2"/>
      <x:c r="J276" s="2"/>
      <x:c r="K276" s="2"/>
      <x:c r="L276" s="2"/>
      <x:c r="M276" s="2"/>
      <x:c r="N276" s="2"/>
      <x:c r="O276" s="2"/>
      <x:c r="P276" s="2"/>
      <x:c r="Q276" s="2"/>
      <x:c r="R276" s="2"/>
      <x:c r="S276" s="2"/>
      <x:c r="T276" s="2"/>
      <x:c r="U276" s="2"/>
      <x:c r="V276" s="2"/>
    </x:row>
    <x:row r="277" ht="28" customHeight="1">
      <x:c r="A277" s="38" t="str">
        <x:v>C03-R137</x:v>
      </x:c>
      <x:c r="B277" s="38" t="str">
        <x:v>C03</x:v>
      </x:c>
      <x:c r="C277" s="38" t="str">
        <x:v>转弯点</x:v>
      </x:c>
      <x:c r="D277" s="48" t="n">
        <x:v>116.504116</x:v>
      </x:c>
      <x:c r="E277" s="48" t="n">
        <x:v>39.791848</x:v>
      </x:c>
      <x:c r="F277" s="38" t="str">
        <x:v>是</x:v>
      </x:c>
      <x:c r="G277" s="38" t="str">
        <x:v>OSM</x:v>
      </x:c>
      <x:c r="H277" s="38" t="str">
        <x:v>路段转弯点</x:v>
      </x:c>
      <x:c r="I277" s="2"/>
      <x:c r="J277" s="2"/>
      <x:c r="K277" s="2"/>
      <x:c r="L277" s="2"/>
      <x:c r="M277" s="2"/>
      <x:c r="N277" s="2"/>
      <x:c r="O277" s="2"/>
      <x:c r="P277" s="2"/>
      <x:c r="Q277" s="2"/>
      <x:c r="R277" s="2"/>
      <x:c r="S277" s="2"/>
      <x:c r="T277" s="2"/>
      <x:c r="U277" s="2"/>
      <x:c r="V277" s="2"/>
    </x:row>
    <x:row r="278" ht="28" customHeight="1">
      <x:c r="A278" s="38" t="str">
        <x:v>C03-R138</x:v>
      </x:c>
      <x:c r="B278" s="38" t="str">
        <x:v>C03</x:v>
      </x:c>
      <x:c r="C278" s="38" t="str">
        <x:v>转弯点</x:v>
      </x:c>
      <x:c r="D278" s="48" t="n">
        <x:v>116.503963</x:v>
      </x:c>
      <x:c r="E278" s="48" t="n">
        <x:v>39.79204</x:v>
      </x:c>
      <x:c r="F278" s="38" t="str">
        <x:v>是</x:v>
      </x:c>
      <x:c r="G278" s="38" t="str">
        <x:v>OSM</x:v>
      </x:c>
      <x:c r="H278" s="38" t="str">
        <x:v>路段转弯点</x:v>
      </x:c>
      <x:c r="I278" s="2"/>
      <x:c r="J278" s="2"/>
      <x:c r="K278" s="2"/>
      <x:c r="L278" s="2"/>
      <x:c r="M278" s="2"/>
      <x:c r="N278" s="2"/>
      <x:c r="O278" s="2"/>
      <x:c r="P278" s="2"/>
      <x:c r="Q278" s="2"/>
      <x:c r="R278" s="2"/>
      <x:c r="S278" s="2"/>
      <x:c r="T278" s="2"/>
      <x:c r="U278" s="2"/>
      <x:c r="V278" s="2"/>
    </x:row>
    <x:row r="279" ht="28" customHeight="1">
      <x:c r="A279" s="38" t="str">
        <x:v>C03-R139</x:v>
      </x:c>
      <x:c r="B279" s="38" t="str">
        <x:v>C03</x:v>
      </x:c>
      <x:c r="C279" s="38" t="str">
        <x:v>转弯点</x:v>
      </x:c>
      <x:c r="D279" s="48" t="n">
        <x:v>116.502162</x:v>
      </x:c>
      <x:c r="E279" s="48" t="n">
        <x:v>39.794233</x:v>
      </x:c>
      <x:c r="F279" s="38" t="str">
        <x:v>是</x:v>
      </x:c>
      <x:c r="G279" s="38" t="str">
        <x:v>OSM</x:v>
      </x:c>
      <x:c r="H279" s="38" t="str">
        <x:v>路段转弯点</x:v>
      </x:c>
      <x:c r="I279" s="2"/>
      <x:c r="J279" s="2"/>
      <x:c r="K279" s="2"/>
      <x:c r="L279" s="2"/>
      <x:c r="M279" s="2"/>
      <x:c r="N279" s="2"/>
      <x:c r="O279" s="2"/>
      <x:c r="P279" s="2"/>
      <x:c r="Q279" s="2"/>
      <x:c r="R279" s="2"/>
      <x:c r="S279" s="2"/>
      <x:c r="T279" s="2"/>
      <x:c r="U279" s="2"/>
      <x:c r="V279" s="2"/>
    </x:row>
    <x:row r="280" ht="28" customHeight="1">
      <x:c r="A280" s="38" t="str">
        <x:v>C03-R140</x:v>
      </x:c>
      <x:c r="B280" s="38" t="str">
        <x:v>C03</x:v>
      </x:c>
      <x:c r="C280" s="38" t="str">
        <x:v>转弯点</x:v>
      </x:c>
      <x:c r="D280" s="48" t="n">
        <x:v>116.501536</x:v>
      </x:c>
      <x:c r="E280" s="48" t="n">
        <x:v>39.795008</x:v>
      </x:c>
      <x:c r="F280" s="38" t="str">
        <x:v>是</x:v>
      </x:c>
      <x:c r="G280" s="38" t="str">
        <x:v>OSM</x:v>
      </x:c>
      <x:c r="H280" s="38" t="str">
        <x:v>路段转弯点</x:v>
      </x:c>
      <x:c r="I280" s="2"/>
      <x:c r="J280" s="2"/>
      <x:c r="K280" s="2"/>
      <x:c r="L280" s="2"/>
      <x:c r="M280" s="2"/>
      <x:c r="N280" s="2"/>
      <x:c r="O280" s="2"/>
      <x:c r="P280" s="2"/>
      <x:c r="Q280" s="2"/>
      <x:c r="R280" s="2"/>
      <x:c r="S280" s="2"/>
      <x:c r="T280" s="2"/>
      <x:c r="U280" s="2"/>
      <x:c r="V280" s="2"/>
    </x:row>
    <x:row r="281" ht="28" customHeight="1">
      <x:c r="A281" s="38" t="str">
        <x:v>C03-R141</x:v>
      </x:c>
      <x:c r="B281" s="38" t="str">
        <x:v>C03</x:v>
      </x:c>
      <x:c r="C281" s="38" t="str">
        <x:v>转弯点</x:v>
      </x:c>
      <x:c r="D281" s="48" t="n">
        <x:v>116.499578</x:v>
      </x:c>
      <x:c r="E281" s="48" t="n">
        <x:v>39.79748</x:v>
      </x:c>
      <x:c r="F281" s="38" t="str">
        <x:v>是</x:v>
      </x:c>
      <x:c r="G281" s="38" t="str">
        <x:v>OSM</x:v>
      </x:c>
      <x:c r="H281" s="38" t="str">
        <x:v>路段转弯点</x:v>
      </x:c>
      <x:c r="I281" s="2"/>
      <x:c r="J281" s="2"/>
      <x:c r="K281" s="2"/>
      <x:c r="L281" s="2"/>
      <x:c r="M281" s="2"/>
      <x:c r="N281" s="2"/>
      <x:c r="O281" s="2"/>
      <x:c r="P281" s="2"/>
      <x:c r="Q281" s="2"/>
      <x:c r="R281" s="2"/>
      <x:c r="S281" s="2"/>
      <x:c r="T281" s="2"/>
      <x:c r="U281" s="2"/>
      <x:c r="V281" s="2"/>
    </x:row>
    <x:row r="282" ht="28" customHeight="1">
      <x:c r="A282" s="38" t="str">
        <x:v>C03-R142</x:v>
      </x:c>
      <x:c r="B282" s="38" t="str">
        <x:v>C03</x:v>
      </x:c>
      <x:c r="C282" s="38" t="str">
        <x:v>转弯点</x:v>
      </x:c>
      <x:c r="D282" s="48" t="n">
        <x:v>116.499275</x:v>
      </x:c>
      <x:c r="E282" s="48" t="n">
        <x:v>39.797852</x:v>
      </x:c>
      <x:c r="F282" s="38" t="str">
        <x:v>是</x:v>
      </x:c>
      <x:c r="G282" s="38" t="str">
        <x:v>OSM</x:v>
      </x:c>
      <x:c r="H282" s="38" t="str">
        <x:v>路段转弯点</x:v>
      </x:c>
      <x:c r="I282" s="2"/>
      <x:c r="J282" s="2"/>
      <x:c r="K282" s="2"/>
      <x:c r="L282" s="2"/>
      <x:c r="M282" s="2"/>
      <x:c r="N282" s="2"/>
      <x:c r="O282" s="2"/>
      <x:c r="P282" s="2"/>
      <x:c r="Q282" s="2"/>
      <x:c r="R282" s="2"/>
      <x:c r="S282" s="2"/>
      <x:c r="T282" s="2"/>
      <x:c r="U282" s="2"/>
      <x:c r="V282" s="2"/>
    </x:row>
    <x:row r="283" ht="28" customHeight="1">
      <x:c r="A283" s="38" t="str">
        <x:v>C03-R143</x:v>
      </x:c>
      <x:c r="B283" s="38" t="str">
        <x:v>C03</x:v>
      </x:c>
      <x:c r="C283" s="38" t="str">
        <x:v>交叉口</x:v>
      </x:c>
      <x:c r="D283" s="48" t="n">
        <x:v>116.496369</x:v>
      </x:c>
      <x:c r="E283" s="48" t="n">
        <x:v>39.801423</x:v>
      </x:c>
      <x:c r="F283" s="38" t="str">
        <x:v>是</x:v>
      </x:c>
      <x:c r="G283" s="38" t="str">
        <x:v>OSM</x:v>
      </x:c>
      <x:c r="H283" s="38" t="str">
        <x:v>多路段交汇</x:v>
      </x:c>
      <x:c r="I283" s="2"/>
      <x:c r="J283" s="2"/>
      <x:c r="K283" s="2"/>
      <x:c r="L283" s="2"/>
      <x:c r="M283" s="2"/>
      <x:c r="N283" s="2"/>
      <x:c r="O283" s="2"/>
      <x:c r="P283" s="2"/>
      <x:c r="Q283" s="2"/>
      <x:c r="R283" s="2"/>
      <x:c r="S283" s="2"/>
      <x:c r="T283" s="2"/>
      <x:c r="U283" s="2"/>
      <x:c r="V283" s="2"/>
    </x:row>
    <x:row r="284" ht="28" customHeight="1">
      <x:c r="A284" s="38" t="str">
        <x:v>C03-R144</x:v>
      </x:c>
      <x:c r="B284" s="38" t="str">
        <x:v>C03</x:v>
      </x:c>
      <x:c r="C284" s="38" t="str">
        <x:v>转弯点</x:v>
      </x:c>
      <x:c r="D284" s="48" t="n">
        <x:v>116.491568</x:v>
      </x:c>
      <x:c r="E284" s="48" t="n">
        <x:v>39.803646</x:v>
      </x:c>
      <x:c r="F284" s="38" t="str">
        <x:v>是</x:v>
      </x:c>
      <x:c r="G284" s="38" t="str">
        <x:v>OSM</x:v>
      </x:c>
      <x:c r="H284" s="38" t="str">
        <x:v>路段转弯点</x:v>
      </x:c>
      <x:c r="I284" s="2"/>
      <x:c r="J284" s="2"/>
      <x:c r="K284" s="2"/>
      <x:c r="L284" s="2"/>
      <x:c r="M284" s="2"/>
      <x:c r="N284" s="2"/>
      <x:c r="O284" s="2"/>
      <x:c r="P284" s="2"/>
      <x:c r="Q284" s="2"/>
      <x:c r="R284" s="2"/>
      <x:c r="S284" s="2"/>
      <x:c r="T284" s="2"/>
      <x:c r="U284" s="2"/>
      <x:c r="V284" s="2"/>
    </x:row>
    <x:row r="285" ht="28" customHeight="1">
      <x:c r="A285" s="38" t="str">
        <x:v>C03-R145</x:v>
      </x:c>
      <x:c r="B285" s="38" t="str">
        <x:v>C03</x:v>
      </x:c>
      <x:c r="C285" s="38" t="str">
        <x:v>转弯点</x:v>
      </x:c>
      <x:c r="D285" s="48" t="n">
        <x:v>116.491826</x:v>
      </x:c>
      <x:c r="E285" s="48" t="n">
        <x:v>39.803761</x:v>
      </x:c>
      <x:c r="F285" s="38" t="str">
        <x:v>是</x:v>
      </x:c>
      <x:c r="G285" s="38" t="str">
        <x:v>OSM</x:v>
      </x:c>
      <x:c r="H285" s="38" t="str">
        <x:v>路段转弯点</x:v>
      </x:c>
      <x:c r="I285" s="2"/>
      <x:c r="J285" s="2"/>
      <x:c r="K285" s="2"/>
      <x:c r="L285" s="2"/>
      <x:c r="M285" s="2"/>
      <x:c r="N285" s="2"/>
      <x:c r="O285" s="2"/>
      <x:c r="P285" s="2"/>
      <x:c r="Q285" s="2"/>
      <x:c r="R285" s="2"/>
      <x:c r="S285" s="2"/>
      <x:c r="T285" s="2"/>
      <x:c r="U285" s="2"/>
      <x:c r="V285" s="2"/>
    </x:row>
    <x:row r="286" ht="28" customHeight="1">
      <x:c r="A286" s="38" t="str">
        <x:v>C03-R146</x:v>
      </x:c>
      <x:c r="B286" s="38" t="str">
        <x:v>C03</x:v>
      </x:c>
      <x:c r="C286" s="38" t="str">
        <x:v>转弯点</x:v>
      </x:c>
      <x:c r="D286" s="48" t="n">
        <x:v>116.492427</x:v>
      </x:c>
      <x:c r="E286" s="48" t="n">
        <x:v>39.804028</x:v>
      </x:c>
      <x:c r="F286" s="38" t="str">
        <x:v>是</x:v>
      </x:c>
      <x:c r="G286" s="38" t="str">
        <x:v>OSM</x:v>
      </x:c>
      <x:c r="H286" s="38" t="str">
        <x:v>路段转弯点</x:v>
      </x:c>
      <x:c r="I286" s="2"/>
      <x:c r="J286" s="2"/>
      <x:c r="K286" s="2"/>
      <x:c r="L286" s="2"/>
      <x:c r="M286" s="2"/>
      <x:c r="N286" s="2"/>
      <x:c r="O286" s="2"/>
      <x:c r="P286" s="2"/>
      <x:c r="Q286" s="2"/>
      <x:c r="R286" s="2"/>
      <x:c r="S286" s="2"/>
      <x:c r="T286" s="2"/>
      <x:c r="U286" s="2"/>
      <x:c r="V286" s="2"/>
    </x:row>
    <x:row r="287" ht="28" customHeight="1">
      <x:c r="A287" s="38" t="str">
        <x:v>C03-R147</x:v>
      </x:c>
      <x:c r="B287" s="38" t="str">
        <x:v>C03</x:v>
      </x:c>
      <x:c r="C287" s="38" t="str">
        <x:v>转弯点</x:v>
      </x:c>
      <x:c r="D287" s="48" t="n">
        <x:v>116.492484</x:v>
      </x:c>
      <x:c r="E287" s="48" t="n">
        <x:v>39.798784</x:v>
      </x:c>
      <x:c r="F287" s="38" t="str">
        <x:v>是</x:v>
      </x:c>
      <x:c r="G287" s="38" t="str">
        <x:v>OSM</x:v>
      </x:c>
      <x:c r="H287" s="38" t="str">
        <x:v>路段转弯点</x:v>
      </x:c>
      <x:c r="I287" s="2"/>
      <x:c r="J287" s="2"/>
      <x:c r="K287" s="2"/>
      <x:c r="L287" s="2"/>
      <x:c r="M287" s="2"/>
      <x:c r="N287" s="2"/>
      <x:c r="O287" s="2"/>
      <x:c r="P287" s="2"/>
      <x:c r="Q287" s="2"/>
      <x:c r="R287" s="2"/>
      <x:c r="S287" s="2"/>
      <x:c r="T287" s="2"/>
      <x:c r="U287" s="2"/>
      <x:c r="V287" s="2"/>
    </x:row>
    <x:row r="288" ht="28" customHeight="1">
      <x:c r="A288" s="38" t="str">
        <x:v>C03-R148</x:v>
      </x:c>
      <x:c r="B288" s="38" t="str">
        <x:v>C03</x:v>
      </x:c>
      <x:c r="C288" s="38" t="str">
        <x:v>交叉口</x:v>
      </x:c>
      <x:c r="D288" s="48" t="n">
        <x:v>116.492082</x:v>
      </x:c>
      <x:c r="E288" s="48" t="n">
        <x:v>39.799401</x:v>
      </x:c>
      <x:c r="F288" s="38" t="str">
        <x:v>是</x:v>
      </x:c>
      <x:c r="G288" s="38" t="str">
        <x:v>OSM</x:v>
      </x:c>
      <x:c r="H288" s="38" t="str">
        <x:v>多路段交汇</x:v>
      </x:c>
      <x:c r="I288" s="2"/>
      <x:c r="J288" s="2"/>
      <x:c r="K288" s="2"/>
      <x:c r="L288" s="2"/>
      <x:c r="M288" s="2"/>
      <x:c r="N288" s="2"/>
      <x:c r="O288" s="2"/>
      <x:c r="P288" s="2"/>
      <x:c r="Q288" s="2"/>
      <x:c r="R288" s="2"/>
      <x:c r="S288" s="2"/>
      <x:c r="T288" s="2"/>
      <x:c r="U288" s="2"/>
      <x:c r="V288" s="2"/>
    </x:row>
    <x:row r="289" ht="28" customHeight="1">
      <x:c r="A289" s="38" t="str">
        <x:v>C03-R149</x:v>
      </x:c>
      <x:c r="B289" s="38" t="str">
        <x:v>C03</x:v>
      </x:c>
      <x:c r="C289" s="38" t="str">
        <x:v>转弯点</x:v>
      </x:c>
      <x:c r="D289" s="48" t="n">
        <x:v>116.491701</x:v>
      </x:c>
      <x:c r="E289" s="48" t="n">
        <x:v>39.799853</x:v>
      </x:c>
      <x:c r="F289" s="38" t="str">
        <x:v>是</x:v>
      </x:c>
      <x:c r="G289" s="38" t="str">
        <x:v>OSM</x:v>
      </x:c>
      <x:c r="H289" s="38" t="str">
        <x:v>路段转弯点</x:v>
      </x:c>
      <x:c r="I289" s="2"/>
      <x:c r="J289" s="2"/>
      <x:c r="K289" s="2"/>
      <x:c r="L289" s="2"/>
      <x:c r="M289" s="2"/>
      <x:c r="N289" s="2"/>
      <x:c r="O289" s="2"/>
      <x:c r="P289" s="2"/>
      <x:c r="Q289" s="2"/>
      <x:c r="R289" s="2"/>
      <x:c r="S289" s="2"/>
      <x:c r="T289" s="2"/>
      <x:c r="U289" s="2"/>
      <x:c r="V289" s="2"/>
    </x:row>
    <x:row r="290" ht="28" customHeight="1">
      <x:c r="A290" s="38" t="str">
        <x:v>C03-R150</x:v>
      </x:c>
      <x:c r="B290" s="38" t="str">
        <x:v>C03</x:v>
      </x:c>
      <x:c r="C290" s="38" t="str">
        <x:v>转弯点</x:v>
      </x:c>
      <x:c r="D290" s="48" t="n">
        <x:v>116.493193</x:v>
      </x:c>
      <x:c r="E290" s="48" t="n">
        <x:v>39.799851</x:v>
      </x:c>
      <x:c r="F290" s="38" t="str">
        <x:v>是</x:v>
      </x:c>
      <x:c r="G290" s="38" t="str">
        <x:v>OSM</x:v>
      </x:c>
      <x:c r="H290" s="38" t="str">
        <x:v>路段转弯点</x:v>
      </x:c>
      <x:c r="I290" s="2"/>
      <x:c r="J290" s="2"/>
      <x:c r="K290" s="2"/>
      <x:c r="L290" s="2"/>
      <x:c r="M290" s="2"/>
      <x:c r="N290" s="2"/>
      <x:c r="O290" s="2"/>
      <x:c r="P290" s="2"/>
      <x:c r="Q290" s="2"/>
      <x:c r="R290" s="2"/>
      <x:c r="S290" s="2"/>
      <x:c r="T290" s="2"/>
      <x:c r="U290" s="2"/>
      <x:c r="V290" s="2"/>
    </x:row>
    <x:row r="291" ht="28" customHeight="1">
      <x:c r="A291" s="38" t="str">
        <x:v>C03-R151</x:v>
      </x:c>
      <x:c r="B291" s="38" t="str">
        <x:v>C03</x:v>
      </x:c>
      <x:c r="C291" s="38" t="str">
        <x:v>转弯点</x:v>
      </x:c>
      <x:c r="D291" s="48" t="n">
        <x:v>116.493283</x:v>
      </x:c>
      <x:c r="E291" s="48" t="n">
        <x:v>39.799894</x:v>
      </x:c>
      <x:c r="F291" s="38" t="str">
        <x:v>是</x:v>
      </x:c>
      <x:c r="G291" s="38" t="str">
        <x:v>OSM</x:v>
      </x:c>
      <x:c r="H291" s="38" t="str">
        <x:v>路段转弯点</x:v>
      </x:c>
      <x:c r="I291" s="2"/>
      <x:c r="J291" s="2"/>
      <x:c r="K291" s="2"/>
      <x:c r="L291" s="2"/>
      <x:c r="M291" s="2"/>
      <x:c r="N291" s="2"/>
      <x:c r="O291" s="2"/>
      <x:c r="P291" s="2"/>
      <x:c r="Q291" s="2"/>
      <x:c r="R291" s="2"/>
      <x:c r="S291" s="2"/>
      <x:c r="T291" s="2"/>
      <x:c r="U291" s="2"/>
      <x:c r="V291" s="2"/>
    </x:row>
    <x:row r="292" ht="28" customHeight="1">
      <x:c r="A292" s="38" t="str">
        <x:v>C03-R152</x:v>
      </x:c>
      <x:c r="B292" s="38" t="str">
        <x:v>C03</x:v>
      </x:c>
      <x:c r="C292" s="38" t="str">
        <x:v>转弯点</x:v>
      </x:c>
      <x:c r="D292" s="48" t="n">
        <x:v>116.494042</x:v>
      </x:c>
      <x:c r="E292" s="48" t="n">
        <x:v>39.80026</x:v>
      </x:c>
      <x:c r="F292" s="38" t="str">
        <x:v>是</x:v>
      </x:c>
      <x:c r="G292" s="38" t="str">
        <x:v>OSM</x:v>
      </x:c>
      <x:c r="H292" s="38" t="str">
        <x:v>路段转弯点</x:v>
      </x:c>
      <x:c r="I292" s="2"/>
      <x:c r="J292" s="2"/>
      <x:c r="K292" s="2"/>
      <x:c r="L292" s="2"/>
      <x:c r="M292" s="2"/>
      <x:c r="N292" s="2"/>
      <x:c r="O292" s="2"/>
      <x:c r="P292" s="2"/>
      <x:c r="Q292" s="2"/>
      <x:c r="R292" s="2"/>
      <x:c r="S292" s="2"/>
      <x:c r="T292" s="2"/>
      <x:c r="U292" s="2"/>
      <x:c r="V292" s="2"/>
    </x:row>
    <x:row r="293" ht="28" customHeight="1">
      <x:c r="A293" s="38" t="str">
        <x:v>C03-R153</x:v>
      </x:c>
      <x:c r="B293" s="38" t="str">
        <x:v>C03</x:v>
      </x:c>
      <x:c r="C293" s="38" t="str">
        <x:v>交叉口</x:v>
      </x:c>
      <x:c r="D293" s="48" t="n">
        <x:v>116.492435</x:v>
      </x:c>
      <x:c r="E293" s="48" t="n">
        <x:v>39.805455</x:v>
      </x:c>
      <x:c r="F293" s="38" t="str">
        <x:v>是</x:v>
      </x:c>
      <x:c r="G293" s="38" t="str">
        <x:v>OSM</x:v>
      </x:c>
      <x:c r="H293" s="38" t="str">
        <x:v>多路段交汇</x:v>
      </x:c>
      <x:c r="I293" s="2"/>
      <x:c r="J293" s="2"/>
      <x:c r="K293" s="2"/>
      <x:c r="L293" s="2"/>
      <x:c r="M293" s="2"/>
      <x:c r="N293" s="2"/>
      <x:c r="O293" s="2"/>
      <x:c r="P293" s="2"/>
      <x:c r="Q293" s="2"/>
      <x:c r="R293" s="2"/>
      <x:c r="S293" s="2"/>
      <x:c r="T293" s="2"/>
      <x:c r="U293" s="2"/>
      <x:c r="V293" s="2"/>
    </x:row>
    <x:row r="294" ht="28" customHeight="1">
      <x:c r="A294" s="38" t="str">
        <x:v>C03-R154</x:v>
      </x:c>
      <x:c r="B294" s="38" t="str">
        <x:v>C03</x:v>
      </x:c>
      <x:c r="C294" s="38" t="str">
        <x:v>交叉口</x:v>
      </x:c>
      <x:c r="D294" s="48" t="n">
        <x:v>116.492804</x:v>
      </x:c>
      <x:c r="E294" s="48" t="n">
        <x:v>39.80498</x:v>
      </x:c>
      <x:c r="F294" s="38" t="str">
        <x:v>是</x:v>
      </x:c>
      <x:c r="G294" s="38" t="str">
        <x:v>OSM</x:v>
      </x:c>
      <x:c r="H294" s="38" t="str">
        <x:v>多路段交汇</x:v>
      </x:c>
      <x:c r="I294" s="2"/>
      <x:c r="J294" s="2"/>
      <x:c r="K294" s="2"/>
      <x:c r="L294" s="2"/>
      <x:c r="M294" s="2"/>
      <x:c r="N294" s="2"/>
      <x:c r="O294" s="2"/>
      <x:c r="P294" s="2"/>
      <x:c r="Q294" s="2"/>
      <x:c r="R294" s="2"/>
      <x:c r="S294" s="2"/>
      <x:c r="T294" s="2"/>
      <x:c r="U294" s="2"/>
      <x:c r="V294" s="2"/>
    </x:row>
    <x:row r="295" ht="28" customHeight="1">
      <x:c r="A295" s="38" t="str">
        <x:v>C03-R155</x:v>
      </x:c>
      <x:c r="B295" s="38" t="str">
        <x:v>C03</x:v>
      </x:c>
      <x:c r="C295" s="38" t="str">
        <x:v>转弯点</x:v>
      </x:c>
      <x:c r="D295" s="48" t="n">
        <x:v>116.492806</x:v>
      </x:c>
      <x:c r="E295" s="48" t="n">
        <x:v>39.804847</x:v>
      </x:c>
      <x:c r="F295" s="38" t="str">
        <x:v>是</x:v>
      </x:c>
      <x:c r="G295" s="38" t="str">
        <x:v>OSM</x:v>
      </x:c>
      <x:c r="H295" s="38" t="str">
        <x:v>路段转弯点</x:v>
      </x:c>
      <x:c r="I295" s="2"/>
      <x:c r="J295" s="2"/>
      <x:c r="K295" s="2"/>
      <x:c r="L295" s="2"/>
      <x:c r="M295" s="2"/>
      <x:c r="N295" s="2"/>
      <x:c r="O295" s="2"/>
      <x:c r="P295" s="2"/>
      <x:c r="Q295" s="2"/>
      <x:c r="R295" s="2"/>
      <x:c r="S295" s="2"/>
      <x:c r="T295" s="2"/>
      <x:c r="U295" s="2"/>
      <x:c r="V295" s="2"/>
    </x:row>
    <x:row r="296" ht="28" customHeight="1">
      <x:c r="A296" s="38" t="str">
        <x:v>C03-R156</x:v>
      </x:c>
      <x:c r="B296" s="38" t="str">
        <x:v>C03</x:v>
      </x:c>
      <x:c r="C296" s="38" t="str">
        <x:v>转弯点</x:v>
      </x:c>
      <x:c r="D296" s="48" t="n">
        <x:v>116.492515</x:v>
      </x:c>
      <x:c r="E296" s="48" t="n">
        <x:v>39.804217</x:v>
      </x:c>
      <x:c r="F296" s="38" t="str">
        <x:v>是</x:v>
      </x:c>
      <x:c r="G296" s="38" t="str">
        <x:v>OSM</x:v>
      </x:c>
      <x:c r="H296" s="38" t="str">
        <x:v>路段转弯点</x:v>
      </x:c>
      <x:c r="I296" s="2"/>
      <x:c r="J296" s="2"/>
      <x:c r="K296" s="2"/>
      <x:c r="L296" s="2"/>
      <x:c r="M296" s="2"/>
      <x:c r="N296" s="2"/>
      <x:c r="O296" s="2"/>
      <x:c r="P296" s="2"/>
      <x:c r="Q296" s="2"/>
      <x:c r="R296" s="2"/>
      <x:c r="S296" s="2"/>
      <x:c r="T296" s="2"/>
      <x:c r="U296" s="2"/>
      <x:c r="V296" s="2"/>
    </x:row>
    <x:row r="297" ht="28" customHeight="1">
      <x:c r="A297" s="38" t="str">
        <x:v>C03-R157</x:v>
      </x:c>
      <x:c r="B297" s="38" t="str">
        <x:v>C03</x:v>
      </x:c>
      <x:c r="C297" s="38" t="str">
        <x:v>交叉口</x:v>
      </x:c>
      <x:c r="D297" s="48" t="n">
        <x:v>116.492422</x:v>
      </x:c>
      <x:c r="E297" s="48" t="n">
        <x:v>39.804113</x:v>
      </x:c>
      <x:c r="F297" s="38" t="str">
        <x:v>是</x:v>
      </x:c>
      <x:c r="G297" s="38" t="str">
        <x:v>OSM</x:v>
      </x:c>
      <x:c r="H297" s="38" t="str">
        <x:v>多路段交汇</x:v>
      </x:c>
      <x:c r="I297" s="2"/>
      <x:c r="J297" s="2"/>
      <x:c r="K297" s="2"/>
      <x:c r="L297" s="2"/>
      <x:c r="M297" s="2"/>
      <x:c r="N297" s="2"/>
      <x:c r="O297" s="2"/>
      <x:c r="P297" s="2"/>
      <x:c r="Q297" s="2"/>
      <x:c r="R297" s="2"/>
      <x:c r="S297" s="2"/>
      <x:c r="T297" s="2"/>
      <x:c r="U297" s="2"/>
      <x:c r="V297" s="2"/>
    </x:row>
    <x:row r="298" ht="28" customHeight="1">
      <x:c r="A298" s="38" t="str">
        <x:v>C03-R158</x:v>
      </x:c>
      <x:c r="B298" s="38" t="str">
        <x:v>C03</x:v>
      </x:c>
      <x:c r="C298" s="38" t="str">
        <x:v>端点</x:v>
      </x:c>
      <x:c r="D298" s="48" t="n">
        <x:v>116.500561</x:v>
      </x:c>
      <x:c r="E298" s="48" t="n">
        <x:v>39.807645</x:v>
      </x:c>
      <x:c r="F298" s="38" t="str">
        <x:v>是</x:v>
      </x:c>
      <x:c r="G298" s="38" t="str">
        <x:v>OSM</x:v>
      </x:c>
      <x:c r="H298" s="38" t="str">
        <x:v>小区出入口（与市政道路衔接点）</x:v>
      </x:c>
      <x:c r="I298" s="2"/>
      <x:c r="J298" s="2"/>
      <x:c r="K298" s="2"/>
      <x:c r="L298" s="2"/>
      <x:c r="M298" s="2"/>
      <x:c r="N298" s="2"/>
      <x:c r="O298" s="2"/>
      <x:c r="P298" s="2"/>
      <x:c r="Q298" s="2"/>
      <x:c r="R298" s="2"/>
      <x:c r="S298" s="2"/>
      <x:c r="T298" s="2"/>
      <x:c r="U298" s="2"/>
      <x:c r="V298" s="2"/>
    </x:row>
    <x:row r="299" ht="28" customHeight="1">
      <x:c r="A299" s="38" t="str">
        <x:v>C03-R159</x:v>
      </x:c>
      <x:c r="B299" s="38" t="str">
        <x:v>C03</x:v>
      </x:c>
      <x:c r="C299" s="38" t="str">
        <x:v>交叉口</x:v>
      </x:c>
      <x:c r="D299" s="48" t="n">
        <x:v>116.49572</x:v>
      </x:c>
      <x:c r="E299" s="48" t="n">
        <x:v>39.805655</x:v>
      </x:c>
      <x:c r="F299" s="38" t="str">
        <x:v>是</x:v>
      </x:c>
      <x:c r="G299" s="38" t="str">
        <x:v>OSM</x:v>
      </x:c>
      <x:c r="H299" s="38" t="str">
        <x:v>多路段交汇</x:v>
      </x:c>
      <x:c r="I299" s="2"/>
      <x:c r="J299" s="2"/>
      <x:c r="K299" s="2"/>
      <x:c r="L299" s="2"/>
      <x:c r="M299" s="2"/>
      <x:c r="N299" s="2"/>
      <x:c r="O299" s="2"/>
      <x:c r="P299" s="2"/>
      <x:c r="Q299" s="2"/>
      <x:c r="R299" s="2"/>
      <x:c r="S299" s="2"/>
      <x:c r="T299" s="2"/>
      <x:c r="U299" s="2"/>
      <x:c r="V299" s="2"/>
    </x:row>
    <x:row r="300" ht="28" customHeight="1">
      <x:c r="A300" s="38" t="str">
        <x:v>C03-R160</x:v>
      </x:c>
      <x:c r="B300" s="38" t="str">
        <x:v>C03</x:v>
      </x:c>
      <x:c r="C300" s="38" t="str">
        <x:v>交叉口</x:v>
      </x:c>
      <x:c r="D300" s="48" t="n">
        <x:v>116.494281</x:v>
      </x:c>
      <x:c r="E300" s="48" t="n">
        <x:v>39.807559</x:v>
      </x:c>
      <x:c r="F300" s="38" t="str">
        <x:v>是</x:v>
      </x:c>
      <x:c r="G300" s="38" t="str">
        <x:v>OSM</x:v>
      </x:c>
      <x:c r="H300" s="38" t="str">
        <x:v>多路段交汇</x:v>
      </x:c>
      <x:c r="I300" s="2"/>
      <x:c r="J300" s="2"/>
      <x:c r="K300" s="2"/>
      <x:c r="L300" s="2"/>
      <x:c r="M300" s="2"/>
      <x:c r="N300" s="2"/>
      <x:c r="O300" s="2"/>
      <x:c r="P300" s="2"/>
      <x:c r="Q300" s="2"/>
      <x:c r="R300" s="2"/>
      <x:c r="S300" s="2"/>
      <x:c r="T300" s="2"/>
      <x:c r="U300" s="2"/>
      <x:c r="V300" s="2"/>
    </x:row>
    <x:row r="301" ht="28" customHeight="1">
      <x:c r="A301" s="38" t="str">
        <x:v>C03-R161</x:v>
      </x:c>
      <x:c r="B301" s="38" t="str">
        <x:v>C03</x:v>
      </x:c>
      <x:c r="C301" s="38" t="str">
        <x:v>端点</x:v>
      </x:c>
      <x:c r="D301" s="48" t="n">
        <x:v>116.493253</x:v>
      </x:c>
      <x:c r="E301" s="48" t="n">
        <x:v>39.808974</x:v>
      </x:c>
      <x:c r="F301" s="38" t="str">
        <x:v>是</x:v>
      </x:c>
      <x:c r="G301" s="38" t="str">
        <x:v>OSM</x:v>
      </x:c>
      <x:c r="H301" s="38" t="str">
        <x:v>小区出入口（与市政道路衔接点）</x:v>
      </x:c>
      <x:c r="I301" s="2"/>
      <x:c r="J301" s="2"/>
      <x:c r="K301" s="2"/>
      <x:c r="L301" s="2"/>
      <x:c r="M301" s="2"/>
      <x:c r="N301" s="2"/>
      <x:c r="O301" s="2"/>
      <x:c r="P301" s="2"/>
      <x:c r="Q301" s="2"/>
      <x:c r="R301" s="2"/>
      <x:c r="S301" s="2"/>
      <x:c r="T301" s="2"/>
      <x:c r="U301" s="2"/>
      <x:c r="V301" s="2"/>
    </x:row>
    <x:row r="302" ht="28" customHeight="1">
      <x:c r="A302" s="38" t="str">
        <x:v>C03-R162</x:v>
      </x:c>
      <x:c r="B302" s="38" t="str">
        <x:v>C03</x:v>
      </x:c>
      <x:c r="C302" s="38" t="str">
        <x:v>交叉口</x:v>
      </x:c>
      <x:c r="D302" s="48" t="n">
        <x:v>116.493217</x:v>
      </x:c>
      <x:c r="E302" s="48" t="n">
        <x:v>39.80448</x:v>
      </x:c>
      <x:c r="F302" s="38" t="str">
        <x:v>是</x:v>
      </x:c>
      <x:c r="G302" s="38" t="str">
        <x:v>OSM</x:v>
      </x:c>
      <x:c r="H302" s="38" t="str">
        <x:v>多路段交汇</x:v>
      </x:c>
      <x:c r="I302" s="2"/>
      <x:c r="J302" s="2"/>
      <x:c r="K302" s="2"/>
      <x:c r="L302" s="2"/>
      <x:c r="M302" s="2"/>
      <x:c r="N302" s="2"/>
      <x:c r="O302" s="2"/>
      <x:c r="P302" s="2"/>
      <x:c r="Q302" s="2"/>
      <x:c r="R302" s="2"/>
      <x:c r="S302" s="2"/>
      <x:c r="T302" s="2"/>
      <x:c r="U302" s="2"/>
      <x:c r="V302" s="2"/>
    </x:row>
    <x:row r="303" ht="28" customHeight="1">
      <x:c r="A303" s="38" t="str">
        <x:v>C03-R163</x:v>
      </x:c>
      <x:c r="B303" s="38" t="str">
        <x:v>C03</x:v>
      </x:c>
      <x:c r="C303" s="38" t="str">
        <x:v>端点</x:v>
      </x:c>
      <x:c r="D303" s="48" t="n">
        <x:v>116.491991</x:v>
      </x:c>
      <x:c r="E303" s="48" t="n">
        <x:v>39.805689</x:v>
      </x:c>
      <x:c r="F303" s="38" t="str">
        <x:v>是</x:v>
      </x:c>
      <x:c r="G303" s="38" t="str">
        <x:v>OSM</x:v>
      </x:c>
      <x:c r="H303" s="38" t="str">
        <x:v>小区出入口（与市政道路衔接点）</x:v>
      </x:c>
      <x:c r="I303" s="2"/>
      <x:c r="J303" s="2"/>
      <x:c r="K303" s="2"/>
      <x:c r="L303" s="2"/>
      <x:c r="M303" s="2"/>
      <x:c r="N303" s="2"/>
      <x:c r="O303" s="2"/>
      <x:c r="P303" s="2"/>
      <x:c r="Q303" s="2"/>
      <x:c r="R303" s="2"/>
      <x:c r="S303" s="2"/>
      <x:c r="T303" s="2"/>
      <x:c r="U303" s="2"/>
      <x:c r="V303" s="2"/>
    </x:row>
    <x:row r="304" ht="28" customHeight="1">
      <x:c r="A304" s="38" t="str">
        <x:v>C03-R164</x:v>
      </x:c>
      <x:c r="B304" s="38" t="str">
        <x:v>C03</x:v>
      </x:c>
      <x:c r="C304" s="38" t="str">
        <x:v>转弯点</x:v>
      </x:c>
      <x:c r="D304" s="48" t="n">
        <x:v>116.491575</x:v>
      </x:c>
      <x:c r="E304" s="48" t="n">
        <x:v>39.806193</x:v>
      </x:c>
      <x:c r="F304" s="38" t="str">
        <x:v>是</x:v>
      </x:c>
      <x:c r="G304" s="38" t="str">
        <x:v>OSM</x:v>
      </x:c>
      <x:c r="H304" s="38" t="str">
        <x:v>路段转弯点</x:v>
      </x:c>
      <x:c r="I304" s="2"/>
      <x:c r="J304" s="2"/>
      <x:c r="K304" s="2"/>
      <x:c r="L304" s="2"/>
      <x:c r="M304" s="2"/>
      <x:c r="N304" s="2"/>
      <x:c r="O304" s="2"/>
      <x:c r="P304" s="2"/>
      <x:c r="Q304" s="2"/>
      <x:c r="R304" s="2"/>
      <x:c r="S304" s="2"/>
      <x:c r="T304" s="2"/>
      <x:c r="U304" s="2"/>
      <x:c r="V304" s="2"/>
    </x:row>
    <x:row r="305" ht="28" customHeight="1">
      <x:c r="A305" s="38" t="str">
        <x:v>C03-R165</x:v>
      </x:c>
      <x:c r="B305" s="38" t="str">
        <x:v>C03</x:v>
      </x:c>
      <x:c r="C305" s="38" t="str">
        <x:v>转弯点</x:v>
      </x:c>
      <x:c r="D305" s="48" t="n">
        <x:v>116.491175</x:v>
      </x:c>
      <x:c r="E305" s="48" t="n">
        <x:v>39.806659</x:v>
      </x:c>
      <x:c r="F305" s="38" t="str">
        <x:v>是</x:v>
      </x:c>
      <x:c r="G305" s="38" t="str">
        <x:v>OSM</x:v>
      </x:c>
      <x:c r="H305" s="38" t="str">
        <x:v>路段转弯点</x:v>
      </x:c>
      <x:c r="I305" s="2"/>
      <x:c r="J305" s="2"/>
      <x:c r="K305" s="2"/>
      <x:c r="L305" s="2"/>
      <x:c r="M305" s="2"/>
      <x:c r="N305" s="2"/>
      <x:c r="O305" s="2"/>
      <x:c r="P305" s="2"/>
      <x:c r="Q305" s="2"/>
      <x:c r="R305" s="2"/>
      <x:c r="S305" s="2"/>
      <x:c r="T305" s="2"/>
      <x:c r="U305" s="2"/>
      <x:c r="V305" s="2"/>
    </x:row>
    <x:row r="306" ht="28" customHeight="1">
      <x:c r="A306" s="38" t="str">
        <x:v>C03-R166</x:v>
      </x:c>
      <x:c r="B306" s="38" t="str">
        <x:v>C03</x:v>
      </x:c>
      <x:c r="C306" s="38" t="str">
        <x:v>转弯点</x:v>
      </x:c>
      <x:c r="D306" s="48" t="n">
        <x:v>116.490837</x:v>
      </x:c>
      <x:c r="E306" s="48" t="n">
        <x:v>39.806651</x:v>
      </x:c>
      <x:c r="F306" s="38" t="str">
        <x:v>是</x:v>
      </x:c>
      <x:c r="G306" s="38" t="str">
        <x:v>OSM</x:v>
      </x:c>
      <x:c r="H306" s="38" t="str">
        <x:v>路段转弯点</x:v>
      </x:c>
      <x:c r="I306" s="2"/>
      <x:c r="J306" s="2"/>
      <x:c r="K306" s="2"/>
      <x:c r="L306" s="2"/>
      <x:c r="M306" s="2"/>
      <x:c r="N306" s="2"/>
      <x:c r="O306" s="2"/>
      <x:c r="P306" s="2"/>
      <x:c r="Q306" s="2"/>
      <x:c r="R306" s="2"/>
      <x:c r="S306" s="2"/>
      <x:c r="T306" s="2"/>
      <x:c r="U306" s="2"/>
      <x:c r="V306" s="2"/>
    </x:row>
    <x:row r="307" ht="28" customHeight="1">
      <x:c r="A307" s="38" t="str">
        <x:v>C03-R167</x:v>
      </x:c>
      <x:c r="B307" s="38" t="str">
        <x:v>C03</x:v>
      </x:c>
      <x:c r="C307" s="38" t="str">
        <x:v>转弯点</x:v>
      </x:c>
      <x:c r="D307" s="48" t="n">
        <x:v>116.490111</x:v>
      </x:c>
      <x:c r="E307" s="48" t="n">
        <x:v>39.806688</x:v>
      </x:c>
      <x:c r="F307" s="38" t="str">
        <x:v>是</x:v>
      </x:c>
      <x:c r="G307" s="38" t="str">
        <x:v>OSM</x:v>
      </x:c>
      <x:c r="H307" s="38" t="str">
        <x:v>路段转弯点</x:v>
      </x:c>
      <x:c r="I307" s="2"/>
      <x:c r="J307" s="2"/>
      <x:c r="K307" s="2"/>
      <x:c r="L307" s="2"/>
      <x:c r="M307" s="2"/>
      <x:c r="N307" s="2"/>
      <x:c r="O307" s="2"/>
      <x:c r="P307" s="2"/>
      <x:c r="Q307" s="2"/>
      <x:c r="R307" s="2"/>
      <x:c r="S307" s="2"/>
      <x:c r="T307" s="2"/>
      <x:c r="U307" s="2"/>
      <x:c r="V307" s="2"/>
    </x:row>
    <x:row r="308" ht="28" customHeight="1">
      <x:c r="A308" s="38" t="str">
        <x:v>C03-R168</x:v>
      </x:c>
      <x:c r="B308" s="38" t="str">
        <x:v>C03</x:v>
      </x:c>
      <x:c r="C308" s="38" t="str">
        <x:v>转弯点</x:v>
      </x:c>
      <x:c r="D308" s="48" t="n">
        <x:v>116.489687</x:v>
      </x:c>
      <x:c r="E308" s="48" t="n">
        <x:v>39.806692</x:v>
      </x:c>
      <x:c r="F308" s="38" t="str">
        <x:v>是</x:v>
      </x:c>
      <x:c r="G308" s="38" t="str">
        <x:v>OSM</x:v>
      </x:c>
      <x:c r="H308" s="38" t="str">
        <x:v>路段转弯点</x:v>
      </x:c>
      <x:c r="I308" s="2"/>
      <x:c r="J308" s="2"/>
      <x:c r="K308" s="2"/>
      <x:c r="L308" s="2"/>
      <x:c r="M308" s="2"/>
      <x:c r="N308" s="2"/>
      <x:c r="O308" s="2"/>
      <x:c r="P308" s="2"/>
      <x:c r="Q308" s="2"/>
      <x:c r="R308" s="2"/>
      <x:c r="S308" s="2"/>
      <x:c r="T308" s="2"/>
      <x:c r="U308" s="2"/>
      <x:c r="V308" s="2"/>
    </x:row>
    <x:row r="309" ht="28" customHeight="1">
      <x:c r="A309" s="38" t="str">
        <x:v>C03-R169</x:v>
      </x:c>
      <x:c r="B309" s="38" t="str">
        <x:v>C03</x:v>
      </x:c>
      <x:c r="C309" s="38" t="str">
        <x:v>转弯点</x:v>
      </x:c>
      <x:c r="D309" s="48" t="n">
        <x:v>116.489062</x:v>
      </x:c>
      <x:c r="E309" s="48" t="n">
        <x:v>39.806644</x:v>
      </x:c>
      <x:c r="F309" s="38" t="str">
        <x:v>是</x:v>
      </x:c>
      <x:c r="G309" s="38" t="str">
        <x:v>OSM</x:v>
      </x:c>
      <x:c r="H309" s="38" t="str">
        <x:v>路段转弯点</x:v>
      </x:c>
      <x:c r="I309" s="2"/>
      <x:c r="J309" s="2"/>
      <x:c r="K309" s="2"/>
      <x:c r="L309" s="2"/>
      <x:c r="M309" s="2"/>
      <x:c r="N309" s="2"/>
      <x:c r="O309" s="2"/>
      <x:c r="P309" s="2"/>
      <x:c r="Q309" s="2"/>
      <x:c r="R309" s="2"/>
      <x:c r="S309" s="2"/>
      <x:c r="T309" s="2"/>
      <x:c r="U309" s="2"/>
      <x:c r="V309" s="2"/>
    </x:row>
    <x:row r="310" ht="28" customHeight="1">
      <x:c r="A310" s="38" t="str">
        <x:v>C03-R170</x:v>
      </x:c>
      <x:c r="B310" s="38" t="str">
        <x:v>C03</x:v>
      </x:c>
      <x:c r="C310" s="38" t="str">
        <x:v>转弯点</x:v>
      </x:c>
      <x:c r="D310" s="48" t="n">
        <x:v>116.488484</x:v>
      </x:c>
      <x:c r="E310" s="48" t="n">
        <x:v>39.806595</x:v>
      </x:c>
      <x:c r="F310" s="38" t="str">
        <x:v>是</x:v>
      </x:c>
      <x:c r="G310" s="38" t="str">
        <x:v>OSM</x:v>
      </x:c>
      <x:c r="H310" s="38" t="str">
        <x:v>路段转弯点</x:v>
      </x:c>
      <x:c r="I310" s="2"/>
      <x:c r="J310" s="2"/>
      <x:c r="K310" s="2"/>
      <x:c r="L310" s="2"/>
      <x:c r="M310" s="2"/>
      <x:c r="N310" s="2"/>
      <x:c r="O310" s="2"/>
      <x:c r="P310" s="2"/>
      <x:c r="Q310" s="2"/>
      <x:c r="R310" s="2"/>
      <x:c r="S310" s="2"/>
      <x:c r="T310" s="2"/>
      <x:c r="U310" s="2"/>
      <x:c r="V310" s="2"/>
    </x:row>
    <x:row r="311" ht="28" customHeight="1">
      <x:c r="A311" s="38" t="str">
        <x:v>C03-R171</x:v>
      </x:c>
      <x:c r="B311" s="38" t="str">
        <x:v>C03</x:v>
      </x:c>
      <x:c r="C311" s="38" t="str">
        <x:v>转弯点</x:v>
      </x:c>
      <x:c r="D311" s="48" t="n">
        <x:v>116.488592</x:v>
      </x:c>
      <x:c r="E311" s="48" t="n">
        <x:v>39.806535</x:v>
      </x:c>
      <x:c r="F311" s="38" t="str">
        <x:v>是</x:v>
      </x:c>
      <x:c r="G311" s="38" t="str">
        <x:v>OSM</x:v>
      </x:c>
      <x:c r="H311" s="38" t="str">
        <x:v>路段转弯点</x:v>
      </x:c>
      <x:c r="I311" s="2"/>
      <x:c r="J311" s="2"/>
      <x:c r="K311" s="2"/>
      <x:c r="L311" s="2"/>
      <x:c r="M311" s="2"/>
      <x:c r="N311" s="2"/>
      <x:c r="O311" s="2"/>
      <x:c r="P311" s="2"/>
      <x:c r="Q311" s="2"/>
      <x:c r="R311" s="2"/>
      <x:c r="S311" s="2"/>
      <x:c r="T311" s="2"/>
      <x:c r="U311" s="2"/>
      <x:c r="V311" s="2"/>
    </x:row>
    <x:row r="312" ht="28" customHeight="1">
      <x:c r="A312" s="38" t="str">
        <x:v>C03-R172</x:v>
      </x:c>
      <x:c r="B312" s="38" t="str">
        <x:v>C03</x:v>
      </x:c>
      <x:c r="C312" s="38" t="str">
        <x:v>转弯点</x:v>
      </x:c>
      <x:c r="D312" s="48" t="n">
        <x:v>116.488732</x:v>
      </x:c>
      <x:c r="E312" s="48" t="n">
        <x:v>39.806535</x:v>
      </x:c>
      <x:c r="F312" s="38" t="str">
        <x:v>是</x:v>
      </x:c>
      <x:c r="G312" s="38" t="str">
        <x:v>OSM</x:v>
      </x:c>
      <x:c r="H312" s="38" t="str">
        <x:v>路段转弯点</x:v>
      </x:c>
      <x:c r="I312" s="2"/>
      <x:c r="J312" s="2"/>
      <x:c r="K312" s="2"/>
      <x:c r="L312" s="2"/>
      <x:c r="M312" s="2"/>
      <x:c r="N312" s="2"/>
      <x:c r="O312" s="2"/>
      <x:c r="P312" s="2"/>
      <x:c r="Q312" s="2"/>
      <x:c r="R312" s="2"/>
      <x:c r="S312" s="2"/>
      <x:c r="T312" s="2"/>
      <x:c r="U312" s="2"/>
      <x:c r="V312" s="2"/>
    </x:row>
    <x:row r="313" ht="28" customHeight="1">
      <x:c r="A313" s="38" t="str">
        <x:v>C03-R173</x:v>
      </x:c>
      <x:c r="B313" s="38" t="str">
        <x:v>C03</x:v>
      </x:c>
      <x:c r="C313" s="38" t="str">
        <x:v>转弯点</x:v>
      </x:c>
      <x:c r="D313" s="48" t="n">
        <x:v>116.488997</x:v>
      </x:c>
      <x:c r="E313" s="48" t="n">
        <x:v>39.806548</x:v>
      </x:c>
      <x:c r="F313" s="38" t="str">
        <x:v>是</x:v>
      </x:c>
      <x:c r="G313" s="38" t="str">
        <x:v>OSM</x:v>
      </x:c>
      <x:c r="H313" s="38" t="str">
        <x:v>路段转弯点</x:v>
      </x:c>
      <x:c r="I313" s="2"/>
      <x:c r="J313" s="2"/>
      <x:c r="K313" s="2"/>
      <x:c r="L313" s="2"/>
      <x:c r="M313" s="2"/>
      <x:c r="N313" s="2"/>
      <x:c r="O313" s="2"/>
      <x:c r="P313" s="2"/>
      <x:c r="Q313" s="2"/>
      <x:c r="R313" s="2"/>
      <x:c r="S313" s="2"/>
      <x:c r="T313" s="2"/>
      <x:c r="U313" s="2"/>
      <x:c r="V313" s="2"/>
    </x:row>
    <x:row r="314" ht="28" customHeight="1">
      <x:c r="A314" s="38" t="str">
        <x:v>C03-R174</x:v>
      </x:c>
      <x:c r="B314" s="38" t="str">
        <x:v>C03</x:v>
      </x:c>
      <x:c r="C314" s="38" t="str">
        <x:v>转弯点</x:v>
      </x:c>
      <x:c r="D314" s="48" t="n">
        <x:v>116.489118</x:v>
      </x:c>
      <x:c r="E314" s="48" t="n">
        <x:v>39.806539</x:v>
      </x:c>
      <x:c r="F314" s="38" t="str">
        <x:v>是</x:v>
      </x:c>
      <x:c r="G314" s="38" t="str">
        <x:v>OSM</x:v>
      </x:c>
      <x:c r="H314" s="38" t="str">
        <x:v>路段转弯点</x:v>
      </x:c>
      <x:c r="I314" s="2"/>
      <x:c r="J314" s="2"/>
      <x:c r="K314" s="2"/>
      <x:c r="L314" s="2"/>
      <x:c r="M314" s="2"/>
      <x:c r="N314" s="2"/>
      <x:c r="O314" s="2"/>
      <x:c r="P314" s="2"/>
      <x:c r="Q314" s="2"/>
      <x:c r="R314" s="2"/>
      <x:c r="S314" s="2"/>
      <x:c r="T314" s="2"/>
      <x:c r="U314" s="2"/>
      <x:c r="V314" s="2"/>
    </x:row>
    <x:row r="315" ht="28" customHeight="1">
      <x:c r="A315" s="38" t="str">
        <x:v>C03-R175</x:v>
      </x:c>
      <x:c r="B315" s="38" t="str">
        <x:v>C03</x:v>
      </x:c>
      <x:c r="C315" s="38" t="str">
        <x:v>转弯点</x:v>
      </x:c>
      <x:c r="D315" s="48" t="n">
        <x:v>116.489209</x:v>
      </x:c>
      <x:c r="E315" s="48" t="n">
        <x:v>39.80648</x:v>
      </x:c>
      <x:c r="F315" s="38" t="str">
        <x:v>是</x:v>
      </x:c>
      <x:c r="G315" s="38" t="str">
        <x:v>OSM</x:v>
      </x:c>
      <x:c r="H315" s="38" t="str">
        <x:v>路段转弯点</x:v>
      </x:c>
      <x:c r="I315" s="2"/>
      <x:c r="J315" s="2"/>
      <x:c r="K315" s="2"/>
      <x:c r="L315" s="2"/>
      <x:c r="M315" s="2"/>
      <x:c r="N315" s="2"/>
      <x:c r="O315" s="2"/>
      <x:c r="P315" s="2"/>
      <x:c r="Q315" s="2"/>
      <x:c r="R315" s="2"/>
      <x:c r="S315" s="2"/>
      <x:c r="T315" s="2"/>
      <x:c r="U315" s="2"/>
      <x:c r="V315" s="2"/>
    </x:row>
    <x:row r="316" ht="28" customHeight="1">
      <x:c r="A316" s="38" t="str">
        <x:v>C03-R176</x:v>
      </x:c>
      <x:c r="B316" s="38" t="str">
        <x:v>C03</x:v>
      </x:c>
      <x:c r="C316" s="38" t="str">
        <x:v>转弯点</x:v>
      </x:c>
      <x:c r="D316" s="48" t="n">
        <x:v>116.489488</x:v>
      </x:c>
      <x:c r="E316" s="48" t="n">
        <x:v>39.806098</x:v>
      </x:c>
      <x:c r="F316" s="38" t="str">
        <x:v>是</x:v>
      </x:c>
      <x:c r="G316" s="38" t="str">
        <x:v>OSM</x:v>
      </x:c>
      <x:c r="H316" s="38" t="str">
        <x:v>路段转弯点</x:v>
      </x:c>
      <x:c r="I316" s="2"/>
      <x:c r="J316" s="2"/>
      <x:c r="K316" s="2"/>
      <x:c r="L316" s="2"/>
      <x:c r="M316" s="2"/>
      <x:c r="N316" s="2"/>
      <x:c r="O316" s="2"/>
      <x:c r="P316" s="2"/>
      <x:c r="Q316" s="2"/>
      <x:c r="R316" s="2"/>
      <x:c r="S316" s="2"/>
      <x:c r="T316" s="2"/>
      <x:c r="U316" s="2"/>
      <x:c r="V316" s="2"/>
    </x:row>
    <x:row r="317" ht="28" customHeight="1">
      <x:c r="A317" s="38" t="str">
        <x:v>C03-R177</x:v>
      </x:c>
      <x:c r="B317" s="38" t="str">
        <x:v>C03</x:v>
      </x:c>
      <x:c r="C317" s="38" t="str">
        <x:v>端点</x:v>
      </x:c>
      <x:c r="D317" s="48" t="n">
        <x:v>116.489496</x:v>
      </x:c>
      <x:c r="E317" s="48" t="n">
        <x:v>39.805996</x:v>
      </x:c>
      <x:c r="F317" s="38" t="str">
        <x:v>是</x:v>
      </x:c>
      <x:c r="G317" s="38" t="str">
        <x:v>OSM</x:v>
      </x:c>
      <x:c r="H317" s="38" t="str">
        <x:v>小区出入口（与市政道路衔接点）</x:v>
      </x:c>
      <x:c r="I317" s="2"/>
      <x:c r="J317" s="2"/>
      <x:c r="K317" s="2"/>
      <x:c r="L317" s="2"/>
      <x:c r="M317" s="2"/>
      <x:c r="N317" s="2"/>
      <x:c r="O317" s="2"/>
      <x:c r="P317" s="2"/>
      <x:c r="Q317" s="2"/>
      <x:c r="R317" s="2"/>
      <x:c r="S317" s="2"/>
      <x:c r="T317" s="2"/>
      <x:c r="U317" s="2"/>
      <x:c r="V317" s="2"/>
    </x:row>
    <x:row r="318" ht="28" customHeight="1">
      <x:c r="A318" s="38" t="str">
        <x:v>C03-R178</x:v>
      </x:c>
      <x:c r="B318" s="38" t="str">
        <x:v>C03</x:v>
      </x:c>
      <x:c r="C318" s="38" t="str">
        <x:v>交叉口</x:v>
      </x:c>
      <x:c r="D318" s="48" t="n">
        <x:v>116.491511</x:v>
      </x:c>
      <x:c r="E318" s="48" t="n">
        <x:v>39.803711</x:v>
      </x:c>
      <x:c r="F318" s="38" t="str">
        <x:v>是</x:v>
      </x:c>
      <x:c r="G318" s="38" t="str">
        <x:v>OSM</x:v>
      </x:c>
      <x:c r="H318" s="38" t="str">
        <x:v>多路段交汇</x:v>
      </x:c>
      <x:c r="I318" s="2"/>
      <x:c r="J318" s="2"/>
      <x:c r="K318" s="2"/>
      <x:c r="L318" s="2"/>
      <x:c r="M318" s="2"/>
      <x:c r="N318" s="2"/>
      <x:c r="O318" s="2"/>
      <x:c r="P318" s="2"/>
      <x:c r="Q318" s="2"/>
      <x:c r="R318" s="2"/>
      <x:c r="S318" s="2"/>
      <x:c r="T318" s="2"/>
      <x:c r="U318" s="2"/>
      <x:c r="V318" s="2"/>
    </x:row>
    <x:row r="319" ht="28" customHeight="1">
      <x:c r="A319" s="38" t="str">
        <x:v>C03-R179</x:v>
      </x:c>
      <x:c r="B319" s="38" t="str">
        <x:v>C03</x:v>
      </x:c>
      <x:c r="C319" s="38" t="str">
        <x:v>端点</x:v>
      </x:c>
      <x:c r="D319" s="48" t="n">
        <x:v>116.490572</x:v>
      </x:c>
      <x:c r="E319" s="48" t="n">
        <x:v>39.804776</x:v>
      </x:c>
      <x:c r="F319" s="38" t="str">
        <x:v>是</x:v>
      </x:c>
      <x:c r="G319" s="38" t="str">
        <x:v>OSM</x:v>
      </x:c>
      <x:c r="H319" s="38" t="str">
        <x:v>小区出入口（与市政道路衔接点）</x:v>
      </x:c>
      <x:c r="I319" s="2"/>
      <x:c r="J319" s="2"/>
      <x:c r="K319" s="2"/>
      <x:c r="L319" s="2"/>
      <x:c r="M319" s="2"/>
      <x:c r="N319" s="2"/>
      <x:c r="O319" s="2"/>
      <x:c r="P319" s="2"/>
      <x:c r="Q319" s="2"/>
      <x:c r="R319" s="2"/>
      <x:c r="S319" s="2"/>
      <x:c r="T319" s="2"/>
      <x:c r="U319" s="2"/>
      <x:c r="V319" s="2"/>
    </x:row>
    <x:row r="320" ht="28" customHeight="1">
      <x:c r="A320" s="38" t="str">
        <x:v>C03-R180</x:v>
      </x:c>
      <x:c r="B320" s="38" t="str">
        <x:v>C03</x:v>
      </x:c>
      <x:c r="C320" s="38" t="str">
        <x:v>交叉口</x:v>
      </x:c>
      <x:c r="D320" s="48" t="n">
        <x:v>116.495885</x:v>
      </x:c>
      <x:c r="E320" s="48" t="n">
        <x:v>39.805658</x:v>
      </x:c>
      <x:c r="F320" s="38" t="str">
        <x:v>是</x:v>
      </x:c>
      <x:c r="G320" s="38" t="str">
        <x:v>OSM</x:v>
      </x:c>
      <x:c r="H320" s="38" t="str">
        <x:v>多路段交汇</x:v>
      </x:c>
      <x:c r="I320" s="2"/>
      <x:c r="J320" s="2"/>
      <x:c r="K320" s="2"/>
      <x:c r="L320" s="2"/>
      <x:c r="M320" s="2"/>
      <x:c r="N320" s="2"/>
      <x:c r="O320" s="2"/>
      <x:c r="P320" s="2"/>
      <x:c r="Q320" s="2"/>
      <x:c r="R320" s="2"/>
      <x:c r="S320" s="2"/>
      <x:c r="T320" s="2"/>
      <x:c r="U320" s="2"/>
      <x:c r="V320" s="2"/>
    </x:row>
    <x:row r="321" ht="28" customHeight="1">
      <x:c r="A321" s="38" t="str">
        <x:v>C03-R181</x:v>
      </x:c>
      <x:c r="B321" s="38" t="str">
        <x:v>C03</x:v>
      </x:c>
      <x:c r="C321" s="38" t="str">
        <x:v>交叉口</x:v>
      </x:c>
      <x:c r="D321" s="48" t="n">
        <x:v>116.490612</x:v>
      </x:c>
      <x:c r="E321" s="48" t="n">
        <x:v>39.807913</x:v>
      </x:c>
      <x:c r="F321" s="38" t="str">
        <x:v>是</x:v>
      </x:c>
      <x:c r="G321" s="38" t="str">
        <x:v>OSM</x:v>
      </x:c>
      <x:c r="H321" s="38" t="str">
        <x:v>多路段交汇</x:v>
      </x:c>
      <x:c r="I321" s="2"/>
      <x:c r="J321" s="2"/>
      <x:c r="K321" s="2"/>
      <x:c r="L321" s="2"/>
      <x:c r="M321" s="2"/>
      <x:c r="N321" s="2"/>
      <x:c r="O321" s="2"/>
      <x:c r="P321" s="2"/>
      <x:c r="Q321" s="2"/>
      <x:c r="R321" s="2"/>
      <x:c r="S321" s="2"/>
      <x:c r="T321" s="2"/>
      <x:c r="U321" s="2"/>
      <x:c r="V321" s="2"/>
    </x:row>
    <x:row r="322" ht="28" customHeight="1">
      <x:c r="A322" s="38" t="str">
        <x:v>C03-R182</x:v>
      </x:c>
      <x:c r="B322" s="38" t="str">
        <x:v>C03</x:v>
      </x:c>
      <x:c r="C322" s="38" t="str">
        <x:v>转弯点</x:v>
      </x:c>
      <x:c r="D322" s="48" t="n">
        <x:v>116.490549</x:v>
      </x:c>
      <x:c r="E322" s="48" t="n">
        <x:v>39.807771</x:v>
      </x:c>
      <x:c r="F322" s="38" t="str">
        <x:v>是</x:v>
      </x:c>
      <x:c r="G322" s="38" t="str">
        <x:v>OSM</x:v>
      </x:c>
      <x:c r="H322" s="38" t="str">
        <x:v>路段转弯点</x:v>
      </x:c>
      <x:c r="I322" s="2"/>
      <x:c r="J322" s="2"/>
      <x:c r="K322" s="2"/>
      <x:c r="L322" s="2"/>
      <x:c r="M322" s="2"/>
      <x:c r="N322" s="2"/>
      <x:c r="O322" s="2"/>
      <x:c r="P322" s="2"/>
      <x:c r="Q322" s="2"/>
      <x:c r="R322" s="2"/>
      <x:c r="S322" s="2"/>
      <x:c r="T322" s="2"/>
      <x:c r="U322" s="2"/>
      <x:c r="V322" s="2"/>
    </x:row>
    <x:row r="323" ht="28" customHeight="1">
      <x:c r="A323" s="38" t="str">
        <x:v>C03-R183</x:v>
      </x:c>
      <x:c r="B323" s="38" t="str">
        <x:v>C03</x:v>
      </x:c>
      <x:c r="C323" s="38" t="str">
        <x:v>转弯点</x:v>
      </x:c>
      <x:c r="D323" s="48" t="n">
        <x:v>116.49068</x:v>
      </x:c>
      <x:c r="E323" s="48" t="n">
        <x:v>39.807827</x:v>
      </x:c>
      <x:c r="F323" s="38" t="str">
        <x:v>是</x:v>
      </x:c>
      <x:c r="G323" s="38" t="str">
        <x:v>OSM</x:v>
      </x:c>
      <x:c r="H323" s="38" t="str">
        <x:v>路段转弯点</x:v>
      </x:c>
      <x:c r="I323" s="2"/>
      <x:c r="J323" s="2"/>
      <x:c r="K323" s="2"/>
      <x:c r="L323" s="2"/>
      <x:c r="M323" s="2"/>
      <x:c r="N323" s="2"/>
      <x:c r="O323" s="2"/>
      <x:c r="P323" s="2"/>
      <x:c r="Q323" s="2"/>
      <x:c r="R323" s="2"/>
      <x:c r="S323" s="2"/>
      <x:c r="T323" s="2"/>
      <x:c r="U323" s="2"/>
      <x:c r="V323" s="2"/>
    </x:row>
    <x:row r="324" ht="28" customHeight="1">
      <x:c r="A324" s="38" t="str">
        <x:v>C03-R184</x:v>
      </x:c>
      <x:c r="B324" s="38" t="str">
        <x:v>C03</x:v>
      </x:c>
      <x:c r="C324" s="38" t="str">
        <x:v>交叉口</x:v>
      </x:c>
      <x:c r="D324" s="48" t="n">
        <x:v>116.492383</x:v>
      </x:c>
      <x:c r="E324" s="48" t="n">
        <x:v>39.80574</x:v>
      </x:c>
      <x:c r="F324" s="38" t="str">
        <x:v>是</x:v>
      </x:c>
      <x:c r="G324" s="38" t="str">
        <x:v>OSM</x:v>
      </x:c>
      <x:c r="H324" s="38" t="str">
        <x:v>多路段交汇</x:v>
      </x:c>
      <x:c r="I324" s="2"/>
      <x:c r="J324" s="2"/>
      <x:c r="K324" s="2"/>
      <x:c r="L324" s="2"/>
      <x:c r="M324" s="2"/>
      <x:c r="N324" s="2"/>
      <x:c r="O324" s="2"/>
      <x:c r="P324" s="2"/>
      <x:c r="Q324" s="2"/>
      <x:c r="R324" s="2"/>
      <x:c r="S324" s="2"/>
      <x:c r="T324" s="2"/>
      <x:c r="U324" s="2"/>
      <x:c r="V324" s="2"/>
    </x:row>
    <x:row r="325" ht="28" customHeight="1">
      <x:c r="A325" s="38" t="str">
        <x:v>C03-R185</x:v>
      </x:c>
      <x:c r="B325" s="38" t="str">
        <x:v>C03</x:v>
      </x:c>
      <x:c r="C325" s="38" t="str">
        <x:v>交叉口</x:v>
      </x:c>
      <x:c r="D325" s="48" t="n">
        <x:v>116.493358</x:v>
      </x:c>
      <x:c r="E325" s="48" t="n">
        <x:v>39.804545</x:v>
      </x:c>
      <x:c r="F325" s="38" t="str">
        <x:v>是</x:v>
      </x:c>
      <x:c r="G325" s="38" t="str">
        <x:v>OSM</x:v>
      </x:c>
      <x:c r="H325" s="38" t="str">
        <x:v>多路段交汇</x:v>
      </x:c>
      <x:c r="I325" s="2"/>
      <x:c r="J325" s="2"/>
      <x:c r="K325" s="2"/>
      <x:c r="L325" s="2"/>
      <x:c r="M325" s="2"/>
      <x:c r="N325" s="2"/>
      <x:c r="O325" s="2"/>
      <x:c r="P325" s="2"/>
      <x:c r="Q325" s="2"/>
      <x:c r="R325" s="2"/>
      <x:c r="S325" s="2"/>
      <x:c r="T325" s="2"/>
      <x:c r="U325" s="2"/>
      <x:c r="V325" s="2"/>
    </x:row>
    <x:row r="326" ht="28" customHeight="1">
      <x:c r="A326" s="38" t="str">
        <x:v>C03-R186</x:v>
      </x:c>
      <x:c r="B326" s="38" t="str">
        <x:v>C03</x:v>
      </x:c>
      <x:c r="C326" s="38" t="str">
        <x:v>转弯点</x:v>
      </x:c>
      <x:c r="D326" s="48" t="n">
        <x:v>116.489941</x:v>
      </x:c>
      <x:c r="E326" s="48" t="n">
        <x:v>39.798365</x:v>
      </x:c>
      <x:c r="F326" s="38" t="str">
        <x:v>是</x:v>
      </x:c>
      <x:c r="G326" s="38" t="str">
        <x:v>OSM</x:v>
      </x:c>
      <x:c r="H326" s="38" t="str">
        <x:v>路段转弯点</x:v>
      </x:c>
      <x:c r="I326" s="2"/>
      <x:c r="J326" s="2"/>
      <x:c r="K326" s="2"/>
      <x:c r="L326" s="2"/>
      <x:c r="M326" s="2"/>
      <x:c r="N326" s="2"/>
      <x:c r="O326" s="2"/>
      <x:c r="P326" s="2"/>
      <x:c r="Q326" s="2"/>
      <x:c r="R326" s="2"/>
      <x:c r="S326" s="2"/>
      <x:c r="T326" s="2"/>
      <x:c r="U326" s="2"/>
      <x:c r="V326" s="2"/>
    </x:row>
    <x:row r="327" ht="28" customHeight="1">
      <x:c r="A327" s="38" t="str">
        <x:v>C03-R187</x:v>
      </x:c>
      <x:c r="B327" s="38" t="str">
        <x:v>C03</x:v>
      </x:c>
      <x:c r="C327" s="38" t="str">
        <x:v>转弯点</x:v>
      </x:c>
      <x:c r="D327" s="48" t="n">
        <x:v>116.489807</x:v>
      </x:c>
      <x:c r="E327" s="48" t="n">
        <x:v>39.7983</x:v>
      </x:c>
      <x:c r="F327" s="38" t="str">
        <x:v>是</x:v>
      </x:c>
      <x:c r="G327" s="38" t="str">
        <x:v>OSM</x:v>
      </x:c>
      <x:c r="H327" s="38" t="str">
        <x:v>路段转弯点</x:v>
      </x:c>
      <x:c r="I327" s="2"/>
      <x:c r="J327" s="2"/>
      <x:c r="K327" s="2"/>
      <x:c r="L327" s="2"/>
      <x:c r="M327" s="2"/>
      <x:c r="N327" s="2"/>
      <x:c r="O327" s="2"/>
      <x:c r="P327" s="2"/>
      <x:c r="Q327" s="2"/>
      <x:c r="R327" s="2"/>
      <x:c r="S327" s="2"/>
      <x:c r="T327" s="2"/>
      <x:c r="U327" s="2"/>
      <x:c r="V327" s="2"/>
    </x:row>
    <x:row r="328" ht="28" customHeight="1">
      <x:c r="A328" s="38" t="str">
        <x:v>C03-R188</x:v>
      </x:c>
      <x:c r="B328" s="38" t="str">
        <x:v>C03</x:v>
      </x:c>
      <x:c r="C328" s="38" t="str">
        <x:v>转弯点</x:v>
      </x:c>
      <x:c r="D328" s="48" t="n">
        <x:v>116.489753</x:v>
      </x:c>
      <x:c r="E328" s="48" t="n">
        <x:v>39.798274</x:v>
      </x:c>
      <x:c r="F328" s="38" t="str">
        <x:v>是</x:v>
      </x:c>
      <x:c r="G328" s="38" t="str">
        <x:v>OSM</x:v>
      </x:c>
      <x:c r="H328" s="38" t="str">
        <x:v>路段转弯点</x:v>
      </x:c>
      <x:c r="I328" s="2"/>
      <x:c r="J328" s="2"/>
      <x:c r="K328" s="2"/>
      <x:c r="L328" s="2"/>
      <x:c r="M328" s="2"/>
      <x:c r="N328" s="2"/>
      <x:c r="O328" s="2"/>
      <x:c r="P328" s="2"/>
      <x:c r="Q328" s="2"/>
      <x:c r="R328" s="2"/>
      <x:c r="S328" s="2"/>
      <x:c r="T328" s="2"/>
      <x:c r="U328" s="2"/>
      <x:c r="V328" s="2"/>
    </x:row>
    <x:row r="329" ht="28" customHeight="1">
      <x:c r="A329" s="38" t="str">
        <x:v>C03-R189</x:v>
      </x:c>
      <x:c r="B329" s="38" t="str">
        <x:v>C03</x:v>
      </x:c>
      <x:c r="C329" s="38" t="str">
        <x:v>转弯点</x:v>
      </x:c>
      <x:c r="D329" s="48" t="n">
        <x:v>116.489287</x:v>
      </x:c>
      <x:c r="E329" s="48" t="n">
        <x:v>39.798051</x:v>
      </x:c>
      <x:c r="F329" s="38" t="str">
        <x:v>是</x:v>
      </x:c>
      <x:c r="G329" s="38" t="str">
        <x:v>OSM</x:v>
      </x:c>
      <x:c r="H329" s="38" t="str">
        <x:v>路段转弯点</x:v>
      </x:c>
      <x:c r="I329" s="2"/>
      <x:c r="J329" s="2"/>
      <x:c r="K329" s="2"/>
      <x:c r="L329" s="2"/>
      <x:c r="M329" s="2"/>
      <x:c r="N329" s="2"/>
      <x:c r="O329" s="2"/>
      <x:c r="P329" s="2"/>
      <x:c r="Q329" s="2"/>
      <x:c r="R329" s="2"/>
      <x:c r="S329" s="2"/>
      <x:c r="T329" s="2"/>
      <x:c r="U329" s="2"/>
      <x:c r="V329" s="2"/>
    </x:row>
    <x:row r="330" ht="28" customHeight="1">
      <x:c r="A330" s="38" t="str">
        <x:v>C03-R190</x:v>
      </x:c>
      <x:c r="B330" s="38" t="str">
        <x:v>C03</x:v>
      </x:c>
      <x:c r="C330" s="38" t="str">
        <x:v>端点</x:v>
      </x:c>
      <x:c r="D330" s="48" t="n">
        <x:v>116.487482</x:v>
      </x:c>
      <x:c r="E330" s="48" t="n">
        <x:v>39.797189</x:v>
      </x:c>
      <x:c r="F330" s="38" t="str">
        <x:v>是</x:v>
      </x:c>
      <x:c r="G330" s="38" t="str">
        <x:v>OSM</x:v>
      </x:c>
      <x:c r="H330" s="38" t="str">
        <x:v>小区出入口（与市政道路衔接点）</x:v>
      </x:c>
      <x:c r="I330" s="2"/>
      <x:c r="J330" s="2"/>
      <x:c r="K330" s="2"/>
      <x:c r="L330" s="2"/>
      <x:c r="M330" s="2"/>
      <x:c r="N330" s="2"/>
      <x:c r="O330" s="2"/>
      <x:c r="P330" s="2"/>
      <x:c r="Q330" s="2"/>
      <x:c r="R330" s="2"/>
      <x:c r="S330" s="2"/>
      <x:c r="T330" s="2"/>
      <x:c r="U330" s="2"/>
      <x:c r="V330" s="2"/>
    </x:row>
    <x:row r="331" ht="28" customHeight="1">
      <x:c r="A331" s="38" t="str">
        <x:v>C03-R191</x:v>
      </x:c>
      <x:c r="B331" s="38" t="str">
        <x:v>C03</x:v>
      </x:c>
      <x:c r="C331" s="38" t="str">
        <x:v>转弯点</x:v>
      </x:c>
      <x:c r="D331" s="48" t="n">
        <x:v>116.498293</x:v>
      </x:c>
      <x:c r="E331" s="48" t="n">
        <x:v>39.802388</x:v>
      </x:c>
      <x:c r="F331" s="38" t="str">
        <x:v>是</x:v>
      </x:c>
      <x:c r="G331" s="38" t="str">
        <x:v>OSM</x:v>
      </x:c>
      <x:c r="H331" s="38" t="str">
        <x:v>路段转弯点</x:v>
      </x:c>
      <x:c r="I331" s="2"/>
      <x:c r="J331" s="2"/>
      <x:c r="K331" s="2"/>
      <x:c r="L331" s="2"/>
      <x:c r="M331" s="2"/>
      <x:c r="N331" s="2"/>
      <x:c r="O331" s="2"/>
      <x:c r="P331" s="2"/>
      <x:c r="Q331" s="2"/>
      <x:c r="R331" s="2"/>
      <x:c r="S331" s="2"/>
      <x:c r="T331" s="2"/>
      <x:c r="U331" s="2"/>
      <x:c r="V331" s="2"/>
    </x:row>
    <x:row r="332" ht="28" customHeight="1">
      <x:c r="A332" s="38" t="str">
        <x:v>C03-R192</x:v>
      </x:c>
      <x:c r="B332" s="38" t="str">
        <x:v>C03</x:v>
      </x:c>
      <x:c r="C332" s="38" t="str">
        <x:v>转弯点</x:v>
      </x:c>
      <x:c r="D332" s="48" t="n">
        <x:v>116.493813</x:v>
      </x:c>
      <x:c r="E332" s="48" t="n">
        <x:v>39.800239</x:v>
      </x:c>
      <x:c r="F332" s="38" t="str">
        <x:v>是</x:v>
      </x:c>
      <x:c r="G332" s="38" t="str">
        <x:v>OSM</x:v>
      </x:c>
      <x:c r="H332" s="38" t="str">
        <x:v>路段转弯点</x:v>
      </x:c>
      <x:c r="I332" s="2"/>
      <x:c r="J332" s="2"/>
      <x:c r="K332" s="2"/>
      <x:c r="L332" s="2"/>
      <x:c r="M332" s="2"/>
      <x:c r="N332" s="2"/>
      <x:c r="O332" s="2"/>
      <x:c r="P332" s="2"/>
      <x:c r="Q332" s="2"/>
      <x:c r="R332" s="2"/>
      <x:c r="S332" s="2"/>
      <x:c r="T332" s="2"/>
      <x:c r="U332" s="2"/>
      <x:c r="V332" s="2"/>
    </x:row>
    <x:row r="333" ht="28" customHeight="1">
      <x:c r="A333" s="38" t="str">
        <x:v>C03-R193</x:v>
      </x:c>
      <x:c r="B333" s="38" t="str">
        <x:v>C03</x:v>
      </x:c>
      <x:c r="C333" s="38" t="str">
        <x:v>转弯点</x:v>
      </x:c>
      <x:c r="D333" s="48" t="n">
        <x:v>116.493183</x:v>
      </x:c>
      <x:c r="E333" s="48" t="n">
        <x:v>39.799936</x:v>
      </x:c>
      <x:c r="F333" s="38" t="str">
        <x:v>是</x:v>
      </x:c>
      <x:c r="G333" s="38" t="str">
        <x:v>OSM</x:v>
      </x:c>
      <x:c r="H333" s="38" t="str">
        <x:v>路段转弯点</x:v>
      </x:c>
      <x:c r="I333" s="2"/>
      <x:c r="J333" s="2"/>
      <x:c r="K333" s="2"/>
      <x:c r="L333" s="2"/>
      <x:c r="M333" s="2"/>
      <x:c r="N333" s="2"/>
      <x:c r="O333" s="2"/>
      <x:c r="P333" s="2"/>
      <x:c r="Q333" s="2"/>
      <x:c r="R333" s="2"/>
      <x:c r="S333" s="2"/>
      <x:c r="T333" s="2"/>
      <x:c r="U333" s="2"/>
      <x:c r="V333" s="2"/>
    </x:row>
    <x:row r="334" ht="28" customHeight="1">
      <x:c r="A334" s="38" t="str">
        <x:v>C03-R194</x:v>
      </x:c>
      <x:c r="B334" s="38" t="str">
        <x:v>C03</x:v>
      </x:c>
      <x:c r="C334" s="38" t="str">
        <x:v>转弯点</x:v>
      </x:c>
      <x:c r="D334" s="48" t="n">
        <x:v>116.490751</x:v>
      </x:c>
      <x:c r="E334" s="48" t="n">
        <x:v>39.803384</x:v>
      </x:c>
      <x:c r="F334" s="38" t="str">
        <x:v>是</x:v>
      </x:c>
      <x:c r="G334" s="38" t="str">
        <x:v>OSM</x:v>
      </x:c>
      <x:c r="H334" s="38" t="str">
        <x:v>路段转弯点</x:v>
      </x:c>
      <x:c r="I334" s="2"/>
      <x:c r="J334" s="2"/>
      <x:c r="K334" s="2"/>
      <x:c r="L334" s="2"/>
      <x:c r="M334" s="2"/>
      <x:c r="N334" s="2"/>
      <x:c r="O334" s="2"/>
      <x:c r="P334" s="2"/>
      <x:c r="Q334" s="2"/>
      <x:c r="R334" s="2"/>
      <x:c r="S334" s="2"/>
      <x:c r="T334" s="2"/>
      <x:c r="U334" s="2"/>
      <x:c r="V334" s="2"/>
    </x:row>
    <x:row r="335" ht="28" customHeight="1">
      <x:c r="A335" s="38" t="str">
        <x:v>C03-R195</x:v>
      </x:c>
      <x:c r="B335" s="38" t="str">
        <x:v>C03</x:v>
      </x:c>
      <x:c r="C335" s="38" t="str">
        <x:v>端点</x:v>
      </x:c>
      <x:c r="D335" s="48" t="n">
        <x:v>116.489285</x:v>
      </x:c>
      <x:c r="E335" s="48" t="n">
        <x:v>39.802752</x:v>
      </x:c>
      <x:c r="F335" s="38" t="str">
        <x:v>是</x:v>
      </x:c>
      <x:c r="G335" s="38" t="str">
        <x:v>OSM</x:v>
      </x:c>
      <x:c r="H335" s="38" t="str">
        <x:v>小区出入口（与市政道路衔接点）</x:v>
      </x:c>
      <x:c r="I335" s="2"/>
      <x:c r="J335" s="2"/>
      <x:c r="K335" s="2"/>
      <x:c r="L335" s="2"/>
      <x:c r="M335" s="2"/>
      <x:c r="N335" s="2"/>
      <x:c r="O335" s="2"/>
      <x:c r="P335" s="2"/>
      <x:c r="Q335" s="2"/>
      <x:c r="R335" s="2"/>
      <x:c r="S335" s="2"/>
      <x:c r="T335" s="2"/>
      <x:c r="U335" s="2"/>
      <x:c r="V335" s="2"/>
    </x:row>
    <x:row r="336" ht="28" customHeight="1">
      <x:c r="A336" s="38" t="str">
        <x:v>C03-R196</x:v>
      </x:c>
      <x:c r="B336" s="38" t="str">
        <x:v>C03</x:v>
      </x:c>
      <x:c r="C336" s="38" t="str">
        <x:v>端点</x:v>
      </x:c>
      <x:c r="D336" s="48" t="n">
        <x:v>116.500621</x:v>
      </x:c>
      <x:c r="E336" s="48" t="n">
        <x:v>39.807759</x:v>
      </x:c>
      <x:c r="F336" s="38" t="str">
        <x:v>是</x:v>
      </x:c>
      <x:c r="G336" s="38" t="str">
        <x:v>OSM</x:v>
      </x:c>
      <x:c r="H336" s="38" t="str">
        <x:v>小区出入口（与市政道路衔接点）</x:v>
      </x:c>
      <x:c r="I336" s="2"/>
      <x:c r="J336" s="2"/>
      <x:c r="K336" s="2"/>
      <x:c r="L336" s="2"/>
      <x:c r="M336" s="2"/>
      <x:c r="N336" s="2"/>
      <x:c r="O336" s="2"/>
      <x:c r="P336" s="2"/>
      <x:c r="Q336" s="2"/>
      <x:c r="R336" s="2"/>
      <x:c r="S336" s="2"/>
      <x:c r="T336" s="2"/>
      <x:c r="U336" s="2"/>
      <x:c r="V336" s="2"/>
    </x:row>
    <x:row r="337" ht="28" customHeight="1">
      <x:c r="A337" s="38" t="str">
        <x:v>C03-R197</x:v>
      </x:c>
      <x:c r="B337" s="38" t="str">
        <x:v>C03</x:v>
      </x:c>
      <x:c r="C337" s="38" t="str">
        <x:v>转弯点</x:v>
      </x:c>
      <x:c r="D337" s="48" t="n">
        <x:v>116.500512</x:v>
      </x:c>
      <x:c r="E337" s="48" t="n">
        <x:v>39.807711</x:v>
      </x:c>
      <x:c r="F337" s="38" t="str">
        <x:v>是</x:v>
      </x:c>
      <x:c r="G337" s="38" t="str">
        <x:v>OSM</x:v>
      </x:c>
      <x:c r="H337" s="38" t="str">
        <x:v>路段转弯点</x:v>
      </x:c>
      <x:c r="I337" s="2"/>
      <x:c r="J337" s="2"/>
      <x:c r="K337" s="2"/>
      <x:c r="L337" s="2"/>
      <x:c r="M337" s="2"/>
      <x:c r="N337" s="2"/>
      <x:c r="O337" s="2"/>
      <x:c r="P337" s="2"/>
      <x:c r="Q337" s="2"/>
      <x:c r="R337" s="2"/>
      <x:c r="S337" s="2"/>
      <x:c r="T337" s="2"/>
      <x:c r="U337" s="2"/>
      <x:c r="V337" s="2"/>
    </x:row>
    <x:row r="338" ht="28" customHeight="1">
      <x:c r="A338" s="38" t="str">
        <x:v>C03-R198</x:v>
      </x:c>
      <x:c r="B338" s="38" t="str">
        <x:v>C03</x:v>
      </x:c>
      <x:c r="C338" s="38" t="str">
        <x:v>转弯点</x:v>
      </x:c>
      <x:c r="D338" s="48" t="n">
        <x:v>116.494319</x:v>
      </x:c>
      <x:c r="E338" s="48" t="n">
        <x:v>39.805025</x:v>
      </x:c>
      <x:c r="F338" s="38" t="str">
        <x:v>是</x:v>
      </x:c>
      <x:c r="G338" s="38" t="str">
        <x:v>OSM</x:v>
      </x:c>
      <x:c r="H338" s="38" t="str">
        <x:v>路段转弯点</x:v>
      </x:c>
      <x:c r="I338" s="2"/>
      <x:c r="J338" s="2"/>
      <x:c r="K338" s="2"/>
      <x:c r="L338" s="2"/>
      <x:c r="M338" s="2"/>
      <x:c r="N338" s="2"/>
      <x:c r="O338" s="2"/>
      <x:c r="P338" s="2"/>
      <x:c r="Q338" s="2"/>
      <x:c r="R338" s="2"/>
      <x:c r="S338" s="2"/>
      <x:c r="T338" s="2"/>
      <x:c r="U338" s="2"/>
      <x:c r="V338" s="2"/>
    </x:row>
    <x:row r="339" ht="28" customHeight="1">
      <x:c r="A339" s="38" t="str">
        <x:v>C03-R199</x:v>
      </x:c>
      <x:c r="B339" s="38" t="str">
        <x:v>C03</x:v>
      </x:c>
      <x:c r="C339" s="38" t="str">
        <x:v>转弯点</x:v>
      </x:c>
      <x:c r="D339" s="48" t="n">
        <x:v>116.494193</x:v>
      </x:c>
      <x:c r="E339" s="48" t="n">
        <x:v>39.805015</x:v>
      </x:c>
      <x:c r="F339" s="38" t="str">
        <x:v>是</x:v>
      </x:c>
      <x:c r="G339" s="38" t="str">
        <x:v>OSM</x:v>
      </x:c>
      <x:c r="H339" s="38" t="str">
        <x:v>路段转弯点</x:v>
      </x:c>
      <x:c r="I339" s="2"/>
      <x:c r="J339" s="2"/>
      <x:c r="K339" s="2"/>
      <x:c r="L339" s="2"/>
      <x:c r="M339" s="2"/>
      <x:c r="N339" s="2"/>
      <x:c r="O339" s="2"/>
      <x:c r="P339" s="2"/>
      <x:c r="Q339" s="2"/>
      <x:c r="R339" s="2"/>
      <x:c r="S339" s="2"/>
      <x:c r="T339" s="2"/>
      <x:c r="U339" s="2"/>
      <x:c r="V339" s="2"/>
    </x:row>
    <x:row r="340" ht="28" customHeight="1">
      <x:c r="A340" s="38" t="str">
        <x:v>C03-R200</x:v>
      </x:c>
      <x:c r="B340" s="38" t="str">
        <x:v>C03</x:v>
      </x:c>
      <x:c r="C340" s="38" t="str">
        <x:v>转弯点</x:v>
      </x:c>
      <x:c r="D340" s="48" t="n">
        <x:v>116.493484</x:v>
      </x:c>
      <x:c r="E340" s="48" t="n">
        <x:v>39.805128</x:v>
      </x:c>
      <x:c r="F340" s="38" t="str">
        <x:v>是</x:v>
      </x:c>
      <x:c r="G340" s="38" t="str">
        <x:v>OSM</x:v>
      </x:c>
      <x:c r="H340" s="38" t="str">
        <x:v>路段转弯点</x:v>
      </x:c>
      <x:c r="I340" s="2"/>
      <x:c r="J340" s="2"/>
      <x:c r="K340" s="2"/>
      <x:c r="L340" s="2"/>
      <x:c r="M340" s="2"/>
      <x:c r="N340" s="2"/>
      <x:c r="O340" s="2"/>
      <x:c r="P340" s="2"/>
      <x:c r="Q340" s="2"/>
      <x:c r="R340" s="2"/>
      <x:c r="S340" s="2"/>
      <x:c r="T340" s="2"/>
      <x:c r="U340" s="2"/>
      <x:c r="V340" s="2"/>
    </x:row>
    <x:row r="341" ht="28" customHeight="1">
      <x:c r="A341" s="38" t="str">
        <x:v>C03-R201</x:v>
      </x:c>
      <x:c r="B341" s="38" t="str">
        <x:v>C03</x:v>
      </x:c>
      <x:c r="C341" s="38" t="str">
        <x:v>转弯点</x:v>
      </x:c>
      <x:c r="D341" s="48" t="n">
        <x:v>116.499935</x:v>
      </x:c>
      <x:c r="E341" s="48" t="n">
        <x:v>39.803111</x:v>
      </x:c>
      <x:c r="F341" s="38" t="str">
        <x:v>是</x:v>
      </x:c>
      <x:c r="G341" s="38" t="str">
        <x:v>OSM</x:v>
      </x:c>
      <x:c r="H341" s="38" t="str">
        <x:v>路段转弯点</x:v>
      </x:c>
      <x:c r="I341" s="2"/>
      <x:c r="J341" s="2"/>
      <x:c r="K341" s="2"/>
      <x:c r="L341" s="2"/>
      <x:c r="M341" s="2"/>
      <x:c r="N341" s="2"/>
      <x:c r="O341" s="2"/>
      <x:c r="P341" s="2"/>
      <x:c r="Q341" s="2"/>
      <x:c r="R341" s="2"/>
      <x:c r="S341" s="2"/>
      <x:c r="T341" s="2"/>
      <x:c r="U341" s="2"/>
      <x:c r="V341" s="2"/>
    </x:row>
    <x:row r="342" ht="28" customHeight="1">
      <x:c r="A342" s="38" t="str">
        <x:v>C03-R202</x:v>
      </x:c>
      <x:c r="B342" s="38" t="str">
        <x:v>C03</x:v>
      </x:c>
      <x:c r="C342" s="38" t="str">
        <x:v>端点</x:v>
      </x:c>
      <x:c r="D342" s="48" t="n">
        <x:v>116.502974</x:v>
      </x:c>
      <x:c r="E342" s="48" t="n">
        <x:v>39.804603</x:v>
      </x:c>
      <x:c r="F342" s="38" t="str">
        <x:v>是</x:v>
      </x:c>
      <x:c r="G342" s="38" t="str">
        <x:v>OSM</x:v>
      </x:c>
      <x:c r="H342" s="38" t="str">
        <x:v>小区出入口（与市政道路衔接点）</x:v>
      </x:c>
      <x:c r="I342" s="2"/>
      <x:c r="J342" s="2"/>
      <x:c r="K342" s="2"/>
      <x:c r="L342" s="2"/>
      <x:c r="M342" s="2"/>
      <x:c r="N342" s="2"/>
      <x:c r="O342" s="2"/>
      <x:c r="P342" s="2"/>
      <x:c r="Q342" s="2"/>
      <x:c r="R342" s="2"/>
      <x:c r="S342" s="2"/>
      <x:c r="T342" s="2"/>
      <x:c r="U342" s="2"/>
      <x:c r="V342" s="2"/>
    </x:row>
    <x:row r="343" ht="28" customHeight="1">
      <x:c r="A343" s="38" t="str">
        <x:v>C03-R203</x:v>
      </x:c>
      <x:c r="B343" s="38" t="str">
        <x:v>C03</x:v>
      </x:c>
      <x:c r="C343" s="38" t="str">
        <x:v>转弯点</x:v>
      </x:c>
      <x:c r="D343" s="48" t="n">
        <x:v>116.49685</x:v>
      </x:c>
      <x:c r="E343" s="48" t="n">
        <x:v>39.806081</x:v>
      </x:c>
      <x:c r="F343" s="38" t="str">
        <x:v>是</x:v>
      </x:c>
      <x:c r="G343" s="38" t="str">
        <x:v>OSM</x:v>
      </x:c>
      <x:c r="H343" s="38" t="str">
        <x:v>路段转弯点</x:v>
      </x:c>
      <x:c r="I343" s="2"/>
      <x:c r="J343" s="2"/>
      <x:c r="K343" s="2"/>
      <x:c r="L343" s="2"/>
      <x:c r="M343" s="2"/>
      <x:c r="N343" s="2"/>
      <x:c r="O343" s="2"/>
      <x:c r="P343" s="2"/>
      <x:c r="Q343" s="2"/>
      <x:c r="R343" s="2"/>
      <x:c r="S343" s="2"/>
      <x:c r="T343" s="2"/>
      <x:c r="U343" s="2"/>
      <x:c r="V343" s="2"/>
    </x:row>
    <x:row r="344" ht="28" customHeight="1">
      <x:c r="A344" s="38" t="str">
        <x:v>C03-R204</x:v>
      </x:c>
      <x:c r="B344" s="38" t="str">
        <x:v>C03</x:v>
      </x:c>
      <x:c r="C344" s="38" t="str">
        <x:v>端点</x:v>
      </x:c>
      <x:c r="D344" s="48" t="n">
        <x:v>116.503011</x:v>
      </x:c>
      <x:c r="E344" s="48" t="n">
        <x:v>39.804684</x:v>
      </x:c>
      <x:c r="F344" s="38" t="str">
        <x:v>是</x:v>
      </x:c>
      <x:c r="G344" s="38" t="str">
        <x:v>OSM</x:v>
      </x:c>
      <x:c r="H344" s="38" t="str">
        <x:v>小区出入口（与市政道路衔接点）</x:v>
      </x:c>
      <x:c r="I344" s="2"/>
      <x:c r="J344" s="2"/>
      <x:c r="K344" s="2"/>
      <x:c r="L344" s="2"/>
      <x:c r="M344" s="2"/>
      <x:c r="N344" s="2"/>
      <x:c r="O344" s="2"/>
      <x:c r="P344" s="2"/>
      <x:c r="Q344" s="2"/>
      <x:c r="R344" s="2"/>
      <x:c r="S344" s="2"/>
      <x:c r="T344" s="2"/>
      <x:c r="U344" s="2"/>
      <x:c r="V344" s="2"/>
    </x:row>
    <x:row r="345" ht="28" customHeight="1">
      <x:c r="A345" s="38" t="str">
        <x:v>C03-R205</x:v>
      </x:c>
      <x:c r="B345" s="38" t="str">
        <x:v>C03</x:v>
      </x:c>
      <x:c r="C345" s="38" t="str">
        <x:v>转弯点</x:v>
      </x:c>
      <x:c r="D345" s="48" t="n">
        <x:v>116.502939</x:v>
      </x:c>
      <x:c r="E345" s="48" t="n">
        <x:v>39.804651</x:v>
      </x:c>
      <x:c r="F345" s="38" t="str">
        <x:v>是</x:v>
      </x:c>
      <x:c r="G345" s="38" t="str">
        <x:v>OSM</x:v>
      </x:c>
      <x:c r="H345" s="38" t="str">
        <x:v>路段转弯点</x:v>
      </x:c>
      <x:c r="I345" s="2"/>
      <x:c r="J345" s="2"/>
      <x:c r="K345" s="2"/>
      <x:c r="L345" s="2"/>
      <x:c r="M345" s="2"/>
      <x:c r="N345" s="2"/>
      <x:c r="O345" s="2"/>
      <x:c r="P345" s="2"/>
      <x:c r="Q345" s="2"/>
      <x:c r="R345" s="2"/>
      <x:c r="S345" s="2"/>
      <x:c r="T345" s="2"/>
      <x:c r="U345" s="2"/>
      <x:c r="V345" s="2"/>
    </x:row>
    <x:row r="346" ht="28" customHeight="1">
      <x:c r="A346" s="38" t="str">
        <x:v>C03-R206</x:v>
      </x:c>
      <x:c r="B346" s="38" t="str">
        <x:v>C03</x:v>
      </x:c>
      <x:c r="C346" s="38" t="str">
        <x:v>转弯点</x:v>
      </x:c>
      <x:c r="D346" s="48" t="n">
        <x:v>116.50114</x:v>
      </x:c>
      <x:c r="E346" s="48" t="n">
        <x:v>39.803764</x:v>
      </x:c>
      <x:c r="F346" s="38" t="str">
        <x:v>是</x:v>
      </x:c>
      <x:c r="G346" s="38" t="str">
        <x:v>OSM</x:v>
      </x:c>
      <x:c r="H346" s="38" t="str">
        <x:v>路段转弯点</x:v>
      </x:c>
      <x:c r="I346" s="2"/>
      <x:c r="J346" s="2"/>
      <x:c r="K346" s="2"/>
      <x:c r="L346" s="2"/>
      <x:c r="M346" s="2"/>
      <x:c r="N346" s="2"/>
      <x:c r="O346" s="2"/>
      <x:c r="P346" s="2"/>
      <x:c r="Q346" s="2"/>
      <x:c r="R346" s="2"/>
      <x:c r="S346" s="2"/>
      <x:c r="T346" s="2"/>
      <x:c r="U346" s="2"/>
      <x:c r="V346" s="2"/>
    </x:row>
    <x:row r="347" ht="28" customHeight="1">
      <x:c r="A347" s="38" t="str">
        <x:v>C03-R207</x:v>
      </x:c>
      <x:c r="B347" s="38" t="str">
        <x:v>C03</x:v>
      </x:c>
      <x:c r="C347" s="38" t="str">
        <x:v>转弯点</x:v>
      </x:c>
      <x:c r="D347" s="48" t="n">
        <x:v>116.500571</x:v>
      </x:c>
      <x:c r="E347" s="48" t="n">
        <x:v>39.803495</x:v>
      </x:c>
      <x:c r="F347" s="38" t="str">
        <x:v>是</x:v>
      </x:c>
      <x:c r="G347" s="38" t="str">
        <x:v>OSM</x:v>
      </x:c>
      <x:c r="H347" s="38" t="str">
        <x:v>路段转弯点</x:v>
      </x:c>
      <x:c r="I347" s="2"/>
      <x:c r="J347" s="2"/>
      <x:c r="K347" s="2"/>
      <x:c r="L347" s="2"/>
      <x:c r="M347" s="2"/>
      <x:c r="N347" s="2"/>
      <x:c r="O347" s="2"/>
      <x:c r="P347" s="2"/>
      <x:c r="Q347" s="2"/>
      <x:c r="R347" s="2"/>
      <x:c r="S347" s="2"/>
      <x:c r="T347" s="2"/>
      <x:c r="U347" s="2"/>
      <x:c r="V347" s="2"/>
    </x:row>
    <x:row r="348" ht="28" customHeight="1">
      <x:c r="A348" s="38" t="str">
        <x:v>C03-R208</x:v>
      </x:c>
      <x:c r="B348" s="38" t="str">
        <x:v>C03</x:v>
      </x:c>
      <x:c r="C348" s="38" t="str">
        <x:v>转弯点</x:v>
      </x:c>
      <x:c r="D348" s="48" t="n">
        <x:v>116.499324</x:v>
      </x:c>
      <x:c r="E348" s="48" t="n">
        <x:v>39.802906</x:v>
      </x:c>
      <x:c r="F348" s="38" t="str">
        <x:v>是</x:v>
      </x:c>
      <x:c r="G348" s="38" t="str">
        <x:v>OSM</x:v>
      </x:c>
      <x:c r="H348" s="38" t="str">
        <x:v>路段转弯点</x:v>
      </x:c>
      <x:c r="I348" s="2"/>
      <x:c r="J348" s="2"/>
      <x:c r="K348" s="2"/>
      <x:c r="L348" s="2"/>
      <x:c r="M348" s="2"/>
      <x:c r="N348" s="2"/>
      <x:c r="O348" s="2"/>
      <x:c r="P348" s="2"/>
      <x:c r="Q348" s="2"/>
      <x:c r="R348" s="2"/>
      <x:c r="S348" s="2"/>
      <x:c r="T348" s="2"/>
      <x:c r="U348" s="2"/>
      <x:c r="V348" s="2"/>
    </x:row>
    <x:row r="349" ht="28" customHeight="1">
      <x:c r="A349" s="38" t="str">
        <x:v>C04-R001</x:v>
      </x:c>
      <x:c r="B349" s="38" t="str">
        <x:v>C04</x:v>
      </x:c>
      <x:c r="C349" s="38" t="str">
        <x:v>出入口</x:v>
      </x:c>
      <x:c r="D349" s="48" t="n">
        <x:v>116.5063436</x:v>
      </x:c>
      <x:c r="E349" s="48" t="n">
        <x:v>39.7626874</x:v>
      </x:c>
      <x:c r="F349" s="38" t="str">
        <x:v>是</x:v>
      </x:c>
      <x:c r="G349" s="38" t="str">
        <x:v>情景路网</x:v>
      </x:c>
      <x:c r="H349" s="38" t="str">
        <x:v>东侧主入口情景点</x:v>
      </x:c>
      <x:c r="I349" s="2"/>
      <x:c r="J349" s="2"/>
      <x:c r="K349" s="2"/>
      <x:c r="L349" s="2"/>
      <x:c r="M349" s="2"/>
      <x:c r="N349" s="2"/>
      <x:c r="O349" s="2"/>
      <x:c r="P349" s="2"/>
      <x:c r="Q349" s="2"/>
      <x:c r="R349" s="2"/>
      <x:c r="S349" s="2"/>
      <x:c r="T349" s="2"/>
      <x:c r="U349" s="2"/>
      <x:c r="V349" s="2"/>
    </x:row>
    <x:row r="350" ht="28" customHeight="1">
      <x:c r="A350" s="38" t="str">
        <x:v>C04-R002</x:v>
      </x:c>
      <x:c r="B350" s="38" t="str">
        <x:v>C04</x:v>
      </x:c>
      <x:c r="C350" s="38" t="str">
        <x:v>出入口</x:v>
      </x:c>
      <x:c r="D350" s="48" t="n">
        <x:v>116.5036026</x:v>
      </x:c>
      <x:c r="E350" s="48" t="n">
        <x:v>39.7634032</x:v>
      </x:c>
      <x:c r="F350" s="38" t="str">
        <x:v>是</x:v>
      </x:c>
      <x:c r="G350" s="38" t="str">
        <x:v>情景路网</x:v>
      </x:c>
      <x:c r="H350" s="38" t="str">
        <x:v>北侧入口情景点</x:v>
      </x:c>
      <x:c r="I350" s="2"/>
      <x:c r="J350" s="2"/>
      <x:c r="K350" s="2"/>
      <x:c r="L350" s="2"/>
      <x:c r="M350" s="2"/>
      <x:c r="N350" s="2"/>
      <x:c r="O350" s="2"/>
      <x:c r="P350" s="2"/>
      <x:c r="Q350" s="2"/>
      <x:c r="R350" s="2"/>
      <x:c r="S350" s="2"/>
      <x:c r="T350" s="2"/>
      <x:c r="U350" s="2"/>
      <x:c r="V350" s="2"/>
    </x:row>
    <x:row r="351" ht="28" customHeight="1">
      <x:c r="A351" s="38" t="str">
        <x:v>C04-R003</x:v>
      </x:c>
      <x:c r="B351" s="38" t="str">
        <x:v>C04</x:v>
      </x:c>
      <x:c r="C351" s="38" t="str">
        <x:v>内部道路节点</x:v>
      </x:c>
      <x:c r="D351" s="48" t="n">
        <x:v>116.50435</x:v>
      </x:c>
      <x:c r="E351" s="48" t="n">
        <x:v>39.76185</x:v>
      </x:c>
      <x:c r="F351" s="38" t="str">
        <x:v>是</x:v>
      </x:c>
      <x:c r="G351" s="38" t="str">
        <x:v>情景路网</x:v>
      </x:c>
      <x:c r="H351" s="38" t="str">
        <x:v>小区中心情景路点</x:v>
      </x:c>
      <x:c r="I351" s="2"/>
      <x:c r="J351" s="2"/>
      <x:c r="K351" s="2"/>
      <x:c r="L351" s="2"/>
      <x:c r="M351" s="2"/>
      <x:c r="N351" s="2"/>
      <x:c r="O351" s="2"/>
      <x:c r="P351" s="2"/>
      <x:c r="Q351" s="2"/>
      <x:c r="R351" s="2"/>
      <x:c r="S351" s="2"/>
      <x:c r="T351" s="2"/>
      <x:c r="U351" s="2"/>
      <x:c r="V351" s="2"/>
    </x:row>
    <x:row r="352" ht="28" customHeight="1">
      <x:c r="A352" s="38" t="str">
        <x:v>C04-R004</x:v>
      </x:c>
      <x:c r="B352" s="38" t="str">
        <x:v>C04</x:v>
      </x:c>
      <x:c r="C352" s="38" t="str">
        <x:v>内部道路节点</x:v>
      </x:c>
      <x:c r="D352" s="48" t="n">
        <x:v>116.5042</x:v>
      </x:c>
      <x:c r="E352" s="48" t="n">
        <x:v>39.76065</x:v>
      </x:c>
      <x:c r="F352" s="38" t="str">
        <x:v>是</x:v>
      </x:c>
      <x:c r="G352" s="38" t="str">
        <x:v>情景路网</x:v>
      </x:c>
      <x:c r="H352" s="38" t="str">
        <x:v>南部情景路点</x:v>
      </x:c>
      <x:c r="I352" s="2"/>
      <x:c r="J352" s="2"/>
      <x:c r="K352" s="2"/>
      <x:c r="L352" s="2"/>
      <x:c r="M352" s="2"/>
      <x:c r="N352" s="2"/>
      <x:c r="O352" s="2"/>
      <x:c r="P352" s="2"/>
      <x:c r="Q352" s="2"/>
      <x:c r="R352" s="2"/>
      <x:c r="S352" s="2"/>
      <x:c r="T352" s="2"/>
      <x:c r="U352" s="2"/>
      <x:c r="V352" s="2"/>
    </x:row>
    <x:row r="353" ht="28" customHeight="1">
      <x:c r="A353" s="38" t="str">
        <x:v>C04-R005</x:v>
      </x:c>
      <x:c r="B353" s="38" t="str">
        <x:v>C04</x:v>
      </x:c>
      <x:c r="C353" s="38" t="str">
        <x:v>内部道路节点</x:v>
      </x:c>
      <x:c r="D353" s="48" t="n">
        <x:v>116.5026</x:v>
      </x:c>
      <x:c r="E353" s="48" t="n">
        <x:v>39.7612</x:v>
      </x:c>
      <x:c r="F353" s="38" t="str">
        <x:v>是</x:v>
      </x:c>
      <x:c r="G353" s="38" t="str">
        <x:v>情景路网</x:v>
      </x:c>
      <x:c r="H353" s="38" t="str">
        <x:v>西部情景路点</x:v>
      </x:c>
      <x:c r="I353" s="2"/>
      <x:c r="J353" s="2"/>
      <x:c r="K353" s="2"/>
      <x:c r="L353" s="2"/>
      <x:c r="M353" s="2"/>
      <x:c r="N353" s="2"/>
      <x:c r="O353" s="2"/>
      <x:c r="P353" s="2"/>
      <x:c r="Q353" s="2"/>
      <x:c r="R353" s="2"/>
      <x:c r="S353" s="2"/>
      <x:c r="T353" s="2"/>
      <x:c r="U353" s="2"/>
      <x:c r="V353" s="2"/>
    </x:row>
    <x:row r="354" ht="28" customHeight="1">
      <x:c r="A354" s="38" t="str">
        <x:v>C04-RD01</x:v>
      </x:c>
      <x:c r="B354" s="38" t="str">
        <x:v>C04</x:v>
      </x:c>
      <x:c r="C354" s="38" t="str">
        <x:v>需求接入点</x:v>
      </x:c>
      <x:c r="D354" s="48" t="n">
        <x:v>116.5035636</x:v>
      </x:c>
      <x:c r="E354" s="48" t="n">
        <x:v>39.7629409</x:v>
      </x:c>
      <x:c r="F354" s="38" t="str">
        <x:v>是</x:v>
      </x:c>
      <x:c r="G354" s="38" t="str">
        <x:v>OSM建筑中心</x:v>
      </x:c>
      <x:c r="H354" s="38" t="str">
        <x:v>住宅建筑簇01（OSM 252848272）</x:v>
      </x:c>
      <x:c r="I354" s="2"/>
      <x:c r="J354" s="2"/>
      <x:c r="K354" s="2"/>
      <x:c r="L354" s="2"/>
      <x:c r="M354" s="2"/>
      <x:c r="N354" s="2"/>
      <x:c r="O354" s="2"/>
      <x:c r="P354" s="2"/>
      <x:c r="Q354" s="2"/>
      <x:c r="R354" s="2"/>
      <x:c r="S354" s="2"/>
      <x:c r="T354" s="2"/>
      <x:c r="U354" s="2"/>
      <x:c r="V354" s="2"/>
    </x:row>
    <x:row r="355" ht="28" customHeight="1">
      <x:c r="A355" s="38" t="str">
        <x:v>C04-RD02</x:v>
      </x:c>
      <x:c r="B355" s="38" t="str">
        <x:v>C04</x:v>
      </x:c>
      <x:c r="C355" s="38" t="str">
        <x:v>需求接入点</x:v>
      </x:c>
      <x:c r="D355" s="48" t="n">
        <x:v>116.5045614</x:v>
      </x:c>
      <x:c r="E355" s="48" t="n">
        <x:v>39.7626409</x:v>
      </x:c>
      <x:c r="F355" s="38" t="str">
        <x:v>是</x:v>
      </x:c>
      <x:c r="G355" s="38" t="str">
        <x:v>OSM建筑中心</x:v>
      </x:c>
      <x:c r="H355" s="38" t="str">
        <x:v>住宅建筑簇02（OSM 475482758）</x:v>
      </x:c>
      <x:c r="I355" s="2"/>
      <x:c r="J355" s="2"/>
      <x:c r="K355" s="2"/>
      <x:c r="L355" s="2"/>
      <x:c r="M355" s="2"/>
      <x:c r="N355" s="2"/>
      <x:c r="O355" s="2"/>
      <x:c r="P355" s="2"/>
      <x:c r="Q355" s="2"/>
      <x:c r="R355" s="2"/>
      <x:c r="S355" s="2"/>
      <x:c r="T355" s="2"/>
      <x:c r="U355" s="2"/>
      <x:c r="V355" s="2"/>
    </x:row>
    <x:row r="356" ht="28" customHeight="1">
      <x:c r="A356" s="38" t="str">
        <x:v>C04-RD03</x:v>
      </x:c>
      <x:c r="B356" s="38" t="str">
        <x:v>C04</x:v>
      </x:c>
      <x:c r="C356" s="38" t="str">
        <x:v>需求接入点</x:v>
      </x:c>
      <x:c r="D356" s="48" t="n">
        <x:v>116.5058885</x:v>
      </x:c>
      <x:c r="E356" s="48" t="n">
        <x:v>39.762507</x:v>
      </x:c>
      <x:c r="F356" s="38" t="str">
        <x:v>是</x:v>
      </x:c>
      <x:c r="G356" s="38" t="str">
        <x:v>OSM建筑中心</x:v>
      </x:c>
      <x:c r="H356" s="38" t="str">
        <x:v>住宅建筑簇03（OSM 359008003）</x:v>
      </x:c>
      <x:c r="I356" s="2"/>
      <x:c r="J356" s="2"/>
      <x:c r="K356" s="2"/>
      <x:c r="L356" s="2"/>
      <x:c r="M356" s="2"/>
      <x:c r="N356" s="2"/>
      <x:c r="O356" s="2"/>
      <x:c r="P356" s="2"/>
      <x:c r="Q356" s="2"/>
      <x:c r="R356" s="2"/>
      <x:c r="S356" s="2"/>
      <x:c r="T356" s="2"/>
      <x:c r="U356" s="2"/>
      <x:c r="V356" s="2"/>
    </x:row>
    <x:row r="357" ht="28" customHeight="1">
      <x:c r="A357" s="38" t="str">
        <x:v>C04-RD04</x:v>
      </x:c>
      <x:c r="B357" s="38" t="str">
        <x:v>C04</x:v>
      </x:c>
      <x:c r="C357" s="38" t="str">
        <x:v>需求接入点</x:v>
      </x:c>
      <x:c r="D357" s="48" t="n">
        <x:v>116.5052605</x:v>
      </x:c>
      <x:c r="E357" s="48" t="n">
        <x:v>39.7624745</x:v>
      </x:c>
      <x:c r="F357" s="38" t="str">
        <x:v>是</x:v>
      </x:c>
      <x:c r="G357" s="38" t="str">
        <x:v>OSM建筑中心</x:v>
      </x:c>
      <x:c r="H357" s="38" t="str">
        <x:v>住宅建筑簇04（OSM 359008000）</x:v>
      </x:c>
      <x:c r="I357" s="2"/>
      <x:c r="J357" s="2"/>
      <x:c r="K357" s="2"/>
      <x:c r="L357" s="2"/>
      <x:c r="M357" s="2"/>
      <x:c r="N357" s="2"/>
      <x:c r="O357" s="2"/>
      <x:c r="P357" s="2"/>
      <x:c r="Q357" s="2"/>
      <x:c r="R357" s="2"/>
      <x:c r="S357" s="2"/>
      <x:c r="T357" s="2"/>
      <x:c r="U357" s="2"/>
      <x:c r="V357" s="2"/>
    </x:row>
    <x:row r="358" ht="28" customHeight="1">
      <x:c r="A358" s="38" t="str">
        <x:v>C04-RD05</x:v>
      </x:c>
      <x:c r="B358" s="38" t="str">
        <x:v>C04</x:v>
      </x:c>
      <x:c r="C358" s="38" t="str">
        <x:v>需求接入点</x:v>
      </x:c>
      <x:c r="D358" s="48" t="n">
        <x:v>116.5030145</x:v>
      </x:c>
      <x:c r="E358" s="48" t="n">
        <x:v>39.7623759</x:v>
      </x:c>
      <x:c r="F358" s="38" t="str">
        <x:v>是</x:v>
      </x:c>
      <x:c r="G358" s="38" t="str">
        <x:v>OSM建筑中心</x:v>
      </x:c>
      <x:c r="H358" s="38" t="str">
        <x:v>住宅建筑簇05（OSM 267655859）</x:v>
      </x:c>
      <x:c r="I358" s="2"/>
      <x:c r="J358" s="2"/>
      <x:c r="K358" s="2"/>
      <x:c r="L358" s="2"/>
      <x:c r="M358" s="2"/>
      <x:c r="N358" s="2"/>
      <x:c r="O358" s="2"/>
      <x:c r="P358" s="2"/>
      <x:c r="Q358" s="2"/>
      <x:c r="R358" s="2"/>
      <x:c r="S358" s="2"/>
      <x:c r="T358" s="2"/>
      <x:c r="U358" s="2"/>
      <x:c r="V358" s="2"/>
    </x:row>
    <x:row r="359" ht="28" customHeight="1">
      <x:c r="A359" s="38" t="str">
        <x:v>C04-RD06</x:v>
      </x:c>
      <x:c r="B359" s="38" t="str">
        <x:v>C04</x:v>
      </x:c>
      <x:c r="C359" s="38" t="str">
        <x:v>需求接入点</x:v>
      </x:c>
      <x:c r="D359" s="48" t="n">
        <x:v>116.5056648</x:v>
      </x:c>
      <x:c r="E359" s="48" t="n">
        <x:v>39.7620254</x:v>
      </x:c>
      <x:c r="F359" s="38" t="str">
        <x:v>是</x:v>
      </x:c>
      <x:c r="G359" s="38" t="str">
        <x:v>OSM建筑中心</x:v>
      </x:c>
      <x:c r="H359" s="38" t="str">
        <x:v>住宅建筑簇06（OSM 359008004）</x:v>
      </x:c>
      <x:c r="I359" s="2"/>
      <x:c r="J359" s="2"/>
      <x:c r="K359" s="2"/>
      <x:c r="L359" s="2"/>
      <x:c r="M359" s="2"/>
      <x:c r="N359" s="2"/>
      <x:c r="O359" s="2"/>
      <x:c r="P359" s="2"/>
      <x:c r="Q359" s="2"/>
      <x:c r="R359" s="2"/>
      <x:c r="S359" s="2"/>
      <x:c r="T359" s="2"/>
      <x:c r="U359" s="2"/>
      <x:c r="V359" s="2"/>
    </x:row>
    <x:row r="360" ht="28" customHeight="1">
      <x:c r="A360" s="38" t="str">
        <x:v>C04-RD07</x:v>
      </x:c>
      <x:c r="B360" s="38" t="str">
        <x:v>C04</x:v>
      </x:c>
      <x:c r="C360" s="38" t="str">
        <x:v>需求接入点</x:v>
      </x:c>
      <x:c r="D360" s="48" t="n">
        <x:v>116.5035326</x:v>
      </x:c>
      <x:c r="E360" s="48" t="n">
        <x:v>39.7619434</x:v>
      </x:c>
      <x:c r="F360" s="38" t="str">
        <x:v>是</x:v>
      </x:c>
      <x:c r="G360" s="38" t="str">
        <x:v>OSM建筑中心</x:v>
      </x:c>
      <x:c r="H360" s="38" t="str">
        <x:v>住宅建筑簇07（OSM 475482757）</x:v>
      </x:c>
      <x:c r="I360" s="2"/>
      <x:c r="J360" s="2"/>
      <x:c r="K360" s="2"/>
      <x:c r="L360" s="2"/>
      <x:c r="M360" s="2"/>
      <x:c r="N360" s="2"/>
      <x:c r="O360" s="2"/>
      <x:c r="P360" s="2"/>
      <x:c r="Q360" s="2"/>
      <x:c r="R360" s="2"/>
      <x:c r="S360" s="2"/>
      <x:c r="T360" s="2"/>
      <x:c r="U360" s="2"/>
      <x:c r="V360" s="2"/>
    </x:row>
    <x:row r="361" ht="28" customHeight="1">
      <x:c r="A361" s="38" t="str">
        <x:v>C04-RD08</x:v>
      </x:c>
      <x:c r="B361" s="38" t="str">
        <x:v>C04</x:v>
      </x:c>
      <x:c r="C361" s="38" t="str">
        <x:v>需求接入点</x:v>
      </x:c>
      <x:c r="D361" s="48" t="n">
        <x:v>116.5045629</x:v>
      </x:c>
      <x:c r="E361" s="48" t="n">
        <x:v>39.7618585</x:v>
      </x:c>
      <x:c r="F361" s="38" t="str">
        <x:v>是</x:v>
      </x:c>
      <x:c r="G361" s="38" t="str">
        <x:v>OSM建筑中心</x:v>
      </x:c>
      <x:c r="H361" s="38" t="str">
        <x:v>住宅建筑簇08（OSM 475482756）</x:v>
      </x:c>
      <x:c r="I361" s="2"/>
      <x:c r="J361" s="2"/>
      <x:c r="K361" s="2"/>
      <x:c r="L361" s="2"/>
      <x:c r="M361" s="2"/>
      <x:c r="N361" s="2"/>
      <x:c r="O361" s="2"/>
      <x:c r="P361" s="2"/>
      <x:c r="Q361" s="2"/>
      <x:c r="R361" s="2"/>
      <x:c r="S361" s="2"/>
      <x:c r="T361" s="2"/>
      <x:c r="U361" s="2"/>
      <x:c r="V361" s="2"/>
    </x:row>
    <x:row r="362" ht="28" customHeight="1">
      <x:c r="A362" s="38" t="str">
        <x:v>C04-RD09</x:v>
      </x:c>
      <x:c r="B362" s="38" t="str">
        <x:v>C04</x:v>
      </x:c>
      <x:c r="C362" s="38" t="str">
        <x:v>需求接入点</x:v>
      </x:c>
      <x:c r="D362" s="48" t="n">
        <x:v>116.504142</x:v>
      </x:c>
      <x:c r="E362" s="48" t="n">
        <x:v>39.7614241</x:v>
      </x:c>
      <x:c r="F362" s="38" t="str">
        <x:v>是</x:v>
      </x:c>
      <x:c r="G362" s="38" t="str">
        <x:v>OSM建筑中心</x:v>
      </x:c>
      <x:c r="H362" s="38" t="str">
        <x:v>住宅建筑簇09（OSM 359007998）</x:v>
      </x:c>
      <x:c r="I362" s="2"/>
      <x:c r="J362" s="2"/>
      <x:c r="K362" s="2"/>
      <x:c r="L362" s="2"/>
      <x:c r="M362" s="2"/>
      <x:c r="N362" s="2"/>
      <x:c r="O362" s="2"/>
      <x:c r="P362" s="2"/>
      <x:c r="Q362" s="2"/>
      <x:c r="R362" s="2"/>
      <x:c r="S362" s="2"/>
      <x:c r="T362" s="2"/>
      <x:c r="U362" s="2"/>
      <x:c r="V362" s="2"/>
    </x:row>
    <x:row r="363" ht="28" customHeight="1">
      <x:c r="A363" s="38" t="str">
        <x:v>C04-RD10</x:v>
      </x:c>
      <x:c r="B363" s="38" t="str">
        <x:v>C04</x:v>
      </x:c>
      <x:c r="C363" s="38" t="str">
        <x:v>需求接入点</x:v>
      </x:c>
      <x:c r="D363" s="48" t="n">
        <x:v>116.5047081</x:v>
      </x:c>
      <x:c r="E363" s="48" t="n">
        <x:v>39.7610251</x:v>
      </x:c>
      <x:c r="F363" s="38" t="str">
        <x:v>是</x:v>
      </x:c>
      <x:c r="G363" s="38" t="str">
        <x:v>OSM建筑中心</x:v>
      </x:c>
      <x:c r="H363" s="38" t="str">
        <x:v>住宅建筑簇10（OSM 359008001）</x:v>
      </x:c>
      <x:c r="I363" s="2"/>
      <x:c r="J363" s="2"/>
      <x:c r="K363" s="2"/>
      <x:c r="L363" s="2"/>
      <x:c r="M363" s="2"/>
      <x:c r="N363" s="2"/>
      <x:c r="O363" s="2"/>
      <x:c r="P363" s="2"/>
      <x:c r="Q363" s="2"/>
      <x:c r="R363" s="2"/>
      <x:c r="S363" s="2"/>
      <x:c r="T363" s="2"/>
      <x:c r="U363" s="2"/>
      <x:c r="V363" s="2"/>
    </x:row>
    <x:row r="364" ht="28" customHeight="1">
      <x:c r="A364" s="38" t="str">
        <x:v>C04-RD11</x:v>
      </x:c>
      <x:c r="B364" s="38" t="str">
        <x:v>C04</x:v>
      </x:c>
      <x:c r="C364" s="38" t="str">
        <x:v>需求接入点</x:v>
      </x:c>
      <x:c r="D364" s="48" t="n">
        <x:v>116.5042844</x:v>
      </x:c>
      <x:c r="E364" s="48" t="n">
        <x:v>39.7607256</x:v>
      </x:c>
      <x:c r="F364" s="38" t="str">
        <x:v>是</x:v>
      </x:c>
      <x:c r="G364" s="38" t="str">
        <x:v>OSM建筑中心</x:v>
      </x:c>
      <x:c r="H364" s="38" t="str">
        <x:v>住宅建筑簇11（OSM 359008002）</x:v>
      </x:c>
      <x:c r="I364" s="2"/>
      <x:c r="J364" s="2"/>
      <x:c r="K364" s="2"/>
      <x:c r="L364" s="2"/>
      <x:c r="M364" s="2"/>
      <x:c r="N364" s="2"/>
      <x:c r="O364" s="2"/>
      <x:c r="P364" s="2"/>
      <x:c r="Q364" s="2"/>
      <x:c r="R364" s="2"/>
      <x:c r="S364" s="2"/>
      <x:c r="T364" s="2"/>
      <x:c r="U364" s="2"/>
      <x:c r="V364" s="2"/>
    </x:row>
    <x:row r="365" ht="28" customHeight="1">
      <x:c r="A365" s="38" t="str">
        <x:v>C04-RD12</x:v>
      </x:c>
      <x:c r="B365" s="38" t="str">
        <x:v>C04</x:v>
      </x:c>
      <x:c r="C365" s="38" t="str">
        <x:v>需求接入点</x:v>
      </x:c>
      <x:c r="D365" s="48" t="n">
        <x:v>116.5051148</x:v>
      </x:c>
      <x:c r="E365" s="48" t="n">
        <x:v>39.7606746</x:v>
      </x:c>
      <x:c r="F365" s="38" t="str">
        <x:v>是</x:v>
      </x:c>
      <x:c r="G365" s="38" t="str">
        <x:v>OSM建筑中心</x:v>
      </x:c>
      <x:c r="H365" s="38" t="str">
        <x:v>住宅建筑簇12（OSM 359007999）</x:v>
      </x:c>
      <x:c r="I365" s="2"/>
      <x:c r="J365" s="2"/>
      <x:c r="K365" s="2"/>
      <x:c r="L365" s="2"/>
      <x:c r="M365" s="2"/>
      <x:c r="N365" s="2"/>
      <x:c r="O365" s="2"/>
      <x:c r="P365" s="2"/>
      <x:c r="Q365" s="2"/>
      <x:c r="R365" s="2"/>
      <x:c r="S365" s="2"/>
      <x:c r="T365" s="2"/>
      <x:c r="U365" s="2"/>
      <x:c r="V365" s="2"/>
    </x:row>
    <x:row r="366" ht="28" customHeight="1">
      <x:c r="A366" s="38" t="str">
        <x:v>C05-R001</x:v>
      </x:c>
      <x:c r="B366" s="38" t="str">
        <x:v>C05</x:v>
      </x:c>
      <x:c r="C366" s="38" t="str">
        <x:v>出入口</x:v>
      </x:c>
      <x:c r="D366" s="48" t="n">
        <x:v>116.4873425</x:v>
      </x:c>
      <x:c r="E366" s="48" t="n">
        <x:v>39.797086</x:v>
      </x:c>
      <x:c r="F366" s="38" t="str">
        <x:v>是</x:v>
      </x:c>
      <x:c r="G366" s="38" t="str">
        <x:v>情景路网</x:v>
      </x:c>
      <x:c r="H366" s="38" t="str">
        <x:v>官方东门方向+OSM边界点</x:v>
      </x:c>
      <x:c r="I366" s="2"/>
      <x:c r="J366" s="2"/>
      <x:c r="K366" s="2"/>
      <x:c r="L366" s="2"/>
      <x:c r="M366" s="2"/>
      <x:c r="N366" s="2"/>
      <x:c r="O366" s="2"/>
      <x:c r="P366" s="2"/>
      <x:c r="Q366" s="2"/>
      <x:c r="R366" s="2"/>
      <x:c r="S366" s="2"/>
      <x:c r="T366" s="2"/>
      <x:c r="U366" s="2"/>
      <x:c r="V366" s="2"/>
    </x:row>
    <x:row r="367" ht="28" customHeight="1">
      <x:c r="A367" s="38" t="str">
        <x:v>C05-R002</x:v>
      </x:c>
      <x:c r="B367" s="38" t="str">
        <x:v>C05</x:v>
      </x:c>
      <x:c r="C367" s="38" t="str">
        <x:v>出入口</x:v>
      </x:c>
      <x:c r="D367" s="48" t="n">
        <x:v>116.4823603</x:v>
      </x:c>
      <x:c r="E367" s="48" t="n">
        <x:v>39.7966962</x:v>
      </x:c>
      <x:c r="F367" s="38" t="str">
        <x:v>是</x:v>
      </x:c>
      <x:c r="G367" s="38" t="str">
        <x:v>情景路网</x:v>
      </x:c>
      <x:c r="H367" s="38" t="str">
        <x:v>西门方向+OSM边界点</x:v>
      </x:c>
      <x:c r="I367" s="2"/>
      <x:c r="J367" s="2"/>
      <x:c r="K367" s="2"/>
      <x:c r="L367" s="2"/>
      <x:c r="M367" s="2"/>
      <x:c r="N367" s="2"/>
      <x:c r="O367" s="2"/>
      <x:c r="P367" s="2"/>
      <x:c r="Q367" s="2"/>
      <x:c r="R367" s="2"/>
      <x:c r="S367" s="2"/>
      <x:c r="T367" s="2"/>
      <x:c r="U367" s="2"/>
      <x:c r="V367" s="2"/>
    </x:row>
    <x:row r="368" ht="28" customHeight="1">
      <x:c r="A368" s="38" t="str">
        <x:v>C05-R003</x:v>
      </x:c>
      <x:c r="B368" s="38" t="str">
        <x:v>C05</x:v>
      </x:c>
      <x:c r="C368" s="38" t="str">
        <x:v>内部道路节点</x:v>
      </x:c>
      <x:c r="D368" s="48" t="n">
        <x:v>116.4851008</x:v>
      </x:c>
      <x:c r="E368" s="48" t="n">
        <x:v>39.7969627</x:v>
      </x:c>
      <x:c r="F368" s="38" t="str">
        <x:v>是</x:v>
      </x:c>
      <x:c r="G368" s="38" t="str">
        <x:v>情景路网</x:v>
      </x:c>
      <x:c r="H368" s="38" t="str">
        <x:v>小区中心情景路点</x:v>
      </x:c>
      <x:c r="I368" s="2"/>
      <x:c r="J368" s="2"/>
      <x:c r="K368" s="2"/>
      <x:c r="L368" s="2"/>
      <x:c r="M368" s="2"/>
      <x:c r="N368" s="2"/>
      <x:c r="O368" s="2"/>
      <x:c r="P368" s="2"/>
      <x:c r="Q368" s="2"/>
      <x:c r="R368" s="2"/>
      <x:c r="S368" s="2"/>
      <x:c r="T368" s="2"/>
      <x:c r="U368" s="2"/>
      <x:c r="V368" s="2"/>
    </x:row>
    <x:row r="369" ht="28" customHeight="1">
      <x:c r="A369" s="38" t="str">
        <x:v>C05-R004</x:v>
      </x:c>
      <x:c r="B369" s="38" t="str">
        <x:v>C05</x:v>
      </x:c>
      <x:c r="C369" s="38" t="str">
        <x:v>内部道路节点</x:v>
      </x:c>
      <x:c r="D369" s="48" t="n">
        <x:v>116.486075</x:v>
      </x:c>
      <x:c r="E369" s="48" t="n">
        <x:v>39.7987156</x:v>
      </x:c>
      <x:c r="F369" s="38" t="str">
        <x:v>是</x:v>
      </x:c>
      <x:c r="G369" s="38" t="str">
        <x:v>情景路网</x:v>
      </x:c>
      <x:c r="H369" s="38" t="str">
        <x:v>北部情景路点</x:v>
      </x:c>
      <x:c r="I369" s="2"/>
      <x:c r="J369" s="2"/>
      <x:c r="K369" s="2"/>
      <x:c r="L369" s="2"/>
      <x:c r="M369" s="2"/>
      <x:c r="N369" s="2"/>
      <x:c r="O369" s="2"/>
      <x:c r="P369" s="2"/>
      <x:c r="Q369" s="2"/>
      <x:c r="R369" s="2"/>
      <x:c r="S369" s="2"/>
      <x:c r="T369" s="2"/>
      <x:c r="U369" s="2"/>
      <x:c r="V369" s="2"/>
    </x:row>
    <x:row r="370" ht="28" customHeight="1">
      <x:c r="A370" s="38" t="str">
        <x:v>C05-R005</x:v>
      </x:c>
      <x:c r="B370" s="38" t="str">
        <x:v>C05</x:v>
      </x:c>
      <x:c r="C370" s="38" t="str">
        <x:v>内部道路节点</x:v>
      </x:c>
      <x:c r="D370" s="48" t="n">
        <x:v>116.484</x:v>
      </x:c>
      <x:c r="E370" s="48" t="n">
        <x:v>39.7955</x:v>
      </x:c>
      <x:c r="F370" s="38" t="str">
        <x:v>是</x:v>
      </x:c>
      <x:c r="G370" s="38" t="str">
        <x:v>情景路网</x:v>
      </x:c>
      <x:c r="H370" s="38" t="str">
        <x:v>南部情景路点</x:v>
      </x:c>
      <x:c r="I370" s="2"/>
      <x:c r="J370" s="2"/>
      <x:c r="K370" s="2"/>
      <x:c r="L370" s="2"/>
      <x:c r="M370" s="2"/>
      <x:c r="N370" s="2"/>
      <x:c r="O370" s="2"/>
      <x:c r="P370" s="2"/>
      <x:c r="Q370" s="2"/>
      <x:c r="R370" s="2"/>
      <x:c r="S370" s="2"/>
      <x:c r="T370" s="2"/>
      <x:c r="U370" s="2"/>
      <x:c r="V370" s="2"/>
    </x:row>
    <x:row r="371" ht="28" customHeight="1">
      <x:c r="A371" s="38" t="str">
        <x:v>C05-R006</x:v>
      </x:c>
      <x:c r="B371" s="38" t="str">
        <x:v>C05</x:v>
      </x:c>
      <x:c r="C371" s="38" t="str">
        <x:v>内部道路节点</x:v>
      </x:c>
      <x:c r="D371" s="48" t="n">
        <x:v>116.483</x:v>
      </x:c>
      <x:c r="E371" s="48" t="n">
        <x:v>39.7963</x:v>
      </x:c>
      <x:c r="F371" s="38" t="str">
        <x:v>是</x:v>
      </x:c>
      <x:c r="G371" s="38" t="str">
        <x:v>情景路网</x:v>
      </x:c>
      <x:c r="H371" s="38" t="str">
        <x:v>西南情景路点</x:v>
      </x:c>
      <x:c r="I371" s="2"/>
      <x:c r="J371" s="2"/>
      <x:c r="K371" s="2"/>
      <x:c r="L371" s="2"/>
      <x:c r="M371" s="2"/>
      <x:c r="N371" s="2"/>
      <x:c r="O371" s="2"/>
      <x:c r="P371" s="2"/>
      <x:c r="Q371" s="2"/>
      <x:c r="R371" s="2"/>
      <x:c r="S371" s="2"/>
      <x:c r="T371" s="2"/>
      <x:c r="U371" s="2"/>
      <x:c r="V371" s="2"/>
    </x:row>
    <x:row r="372" ht="28" customHeight="1">
      <x:c r="A372" s="38" t="str">
        <x:v>C05-RD01</x:v>
      </x:c>
      <x:c r="B372" s="38" t="str">
        <x:v>C05</x:v>
      </x:c>
      <x:c r="C372" s="38" t="str">
        <x:v>需求接入点</x:v>
      </x:c>
      <x:c r="D372" s="48" t="n">
        <x:v>116.4856796</x:v>
      </x:c>
      <x:c r="E372" s="48" t="n">
        <x:v>39.7978906</x:v>
      </x:c>
      <x:c r="F372" s="38" t="str">
        <x:v>是</x:v>
      </x:c>
      <x:c r="G372" s="38" t="str">
        <x:v>OSM建筑中心</x:v>
      </x:c>
      <x:c r="H372" s="38" t="str">
        <x:v>住宅建筑聚合区01</x:v>
      </x:c>
      <x:c r="I372" s="2"/>
      <x:c r="J372" s="2"/>
      <x:c r="K372" s="2"/>
      <x:c r="L372" s="2"/>
      <x:c r="M372" s="2"/>
      <x:c r="N372" s="2"/>
      <x:c r="O372" s="2"/>
      <x:c r="P372" s="2"/>
      <x:c r="Q372" s="2"/>
      <x:c r="R372" s="2"/>
      <x:c r="S372" s="2"/>
      <x:c r="T372" s="2"/>
      <x:c r="U372" s="2"/>
      <x:c r="V372" s="2"/>
    </x:row>
    <x:row r="373" ht="28" customHeight="1">
      <x:c r="A373" s="38" t="str">
        <x:v>C05-RD02</x:v>
      </x:c>
      <x:c r="B373" s="38" t="str">
        <x:v>C05</x:v>
      </x:c>
      <x:c r="C373" s="38" t="str">
        <x:v>需求接入点</x:v>
      </x:c>
      <x:c r="D373" s="48" t="n">
        <x:v>116.4865593</x:v>
      </x:c>
      <x:c r="E373" s="48" t="n">
        <x:v>39.7974475</x:v>
      </x:c>
      <x:c r="F373" s="38" t="str">
        <x:v>是</x:v>
      </x:c>
      <x:c r="G373" s="38" t="str">
        <x:v>OSM建筑中心</x:v>
      </x:c>
      <x:c r="H373" s="38" t="str">
        <x:v>住宅建筑聚合区02</x:v>
      </x:c>
      <x:c r="I373" s="2"/>
      <x:c r="J373" s="2"/>
      <x:c r="K373" s="2"/>
      <x:c r="L373" s="2"/>
      <x:c r="M373" s="2"/>
      <x:c r="N373" s="2"/>
      <x:c r="O373" s="2"/>
      <x:c r="P373" s="2"/>
      <x:c r="Q373" s="2"/>
      <x:c r="R373" s="2"/>
      <x:c r="S373" s="2"/>
      <x:c r="T373" s="2"/>
      <x:c r="U373" s="2"/>
      <x:c r="V373" s="2"/>
    </x:row>
    <x:row r="374" ht="28" customHeight="1">
      <x:c r="A374" s="38" t="str">
        <x:v>C05-RD03</x:v>
      </x:c>
      <x:c r="B374" s="38" t="str">
        <x:v>C05</x:v>
      </x:c>
      <x:c r="C374" s="38" t="str">
        <x:v>需求接入点</x:v>
      </x:c>
      <x:c r="D374" s="48" t="n">
        <x:v>116.4848774</x:v>
      </x:c>
      <x:c r="E374" s="48" t="n">
        <x:v>39.7972478</x:v>
      </x:c>
      <x:c r="F374" s="38" t="str">
        <x:v>是</x:v>
      </x:c>
      <x:c r="G374" s="38" t="str">
        <x:v>OSM建筑中心</x:v>
      </x:c>
      <x:c r="H374" s="38" t="str">
        <x:v>住宅建筑聚合区03</x:v>
      </x:c>
      <x:c r="I374" s="2"/>
      <x:c r="J374" s="2"/>
      <x:c r="K374" s="2"/>
      <x:c r="L374" s="2"/>
      <x:c r="M374" s="2"/>
      <x:c r="N374" s="2"/>
      <x:c r="O374" s="2"/>
      <x:c r="P374" s="2"/>
      <x:c r="Q374" s="2"/>
      <x:c r="R374" s="2"/>
      <x:c r="S374" s="2"/>
      <x:c r="T374" s="2"/>
      <x:c r="U374" s="2"/>
      <x:c r="V374" s="2"/>
    </x:row>
    <x:row r="375" ht="28" customHeight="1">
      <x:c r="A375" s="38" t="str">
        <x:v>C05-RD04</x:v>
      </x:c>
      <x:c r="B375" s="38" t="str">
        <x:v>C05</x:v>
      </x:c>
      <x:c r="C375" s="38" t="str">
        <x:v>需求接入点</x:v>
      </x:c>
      <x:c r="D375" s="48" t="n">
        <x:v>116.4867216</x:v>
      </x:c>
      <x:c r="E375" s="48" t="n">
        <x:v>39.79693</x:v>
      </x:c>
      <x:c r="F375" s="38" t="str">
        <x:v>是</x:v>
      </x:c>
      <x:c r="G375" s="38" t="str">
        <x:v>OSM建筑中心</x:v>
      </x:c>
      <x:c r="H375" s="38" t="str">
        <x:v>住宅建筑聚合区04</x:v>
      </x:c>
      <x:c r="I375" s="2"/>
      <x:c r="J375" s="2"/>
      <x:c r="K375" s="2"/>
      <x:c r="L375" s="2"/>
      <x:c r="M375" s="2"/>
      <x:c r="N375" s="2"/>
      <x:c r="O375" s="2"/>
      <x:c r="P375" s="2"/>
      <x:c r="Q375" s="2"/>
      <x:c r="R375" s="2"/>
      <x:c r="S375" s="2"/>
      <x:c r="T375" s="2"/>
      <x:c r="U375" s="2"/>
      <x:c r="V375" s="2"/>
    </x:row>
    <x:row r="376" ht="28" customHeight="1">
      <x:c r="A376" s="38" t="str">
        <x:v>C05-RD05</x:v>
      </x:c>
      <x:c r="B376" s="38" t="str">
        <x:v>C05</x:v>
      </x:c>
      <x:c r="C376" s="38" t="str">
        <x:v>需求接入点</x:v>
      </x:c>
      <x:c r="D376" s="48" t="n">
        <x:v>116.4839923</x:v>
      </x:c>
      <x:c r="E376" s="48" t="n">
        <x:v>39.796926</x:v>
      </x:c>
      <x:c r="F376" s="38" t="str">
        <x:v>是</x:v>
      </x:c>
      <x:c r="G376" s="38" t="str">
        <x:v>OSM建筑中心</x:v>
      </x:c>
      <x:c r="H376" s="38" t="str">
        <x:v>住宅建筑聚合区05</x:v>
      </x:c>
      <x:c r="I376" s="2"/>
      <x:c r="J376" s="2"/>
      <x:c r="K376" s="2"/>
      <x:c r="L376" s="2"/>
      <x:c r="M376" s="2"/>
      <x:c r="N376" s="2"/>
      <x:c r="O376" s="2"/>
      <x:c r="P376" s="2"/>
      <x:c r="Q376" s="2"/>
      <x:c r="R376" s="2"/>
      <x:c r="S376" s="2"/>
      <x:c r="T376" s="2"/>
      <x:c r="U376" s="2"/>
      <x:c r="V376" s="2"/>
    </x:row>
    <x:row r="377" ht="28" customHeight="1">
      <x:c r="A377" s="38" t="str">
        <x:v>C05-RD06</x:v>
      </x:c>
      <x:c r="B377" s="38" t="str">
        <x:v>C05</x:v>
      </x:c>
      <x:c r="C377" s="38" t="str">
        <x:v>需求接入点</x:v>
      </x:c>
      <x:c r="D377" s="48" t="n">
        <x:v>116.4858605</x:v>
      </x:c>
      <x:c r="E377" s="48" t="n">
        <x:v>39.7968175</x:v>
      </x:c>
      <x:c r="F377" s="38" t="str">
        <x:v>是</x:v>
      </x:c>
      <x:c r="G377" s="38" t="str">
        <x:v>OSM建筑中心</x:v>
      </x:c>
      <x:c r="H377" s="38" t="str">
        <x:v>住宅建筑聚合区06</x:v>
      </x:c>
      <x:c r="I377" s="2"/>
      <x:c r="J377" s="2"/>
      <x:c r="K377" s="2"/>
      <x:c r="L377" s="2"/>
      <x:c r="M377" s="2"/>
      <x:c r="N377" s="2"/>
      <x:c r="O377" s="2"/>
      <x:c r="P377" s="2"/>
      <x:c r="Q377" s="2"/>
      <x:c r="R377" s="2"/>
      <x:c r="S377" s="2"/>
      <x:c r="T377" s="2"/>
      <x:c r="U377" s="2"/>
      <x:c r="V377" s="2"/>
    </x:row>
    <x:row r="378" ht="28" customHeight="1">
      <x:c r="A378" s="38" t="str">
        <x:v>C05-RD07</x:v>
      </x:c>
      <x:c r="B378" s="38" t="str">
        <x:v>C05</x:v>
      </x:c>
      <x:c r="C378" s="38" t="str">
        <x:v>需求接入点</x:v>
      </x:c>
      <x:c r="D378" s="48" t="n">
        <x:v>116.4829227</x:v>
      </x:c>
      <x:c r="E378" s="48" t="n">
        <x:v>39.7965668</x:v>
      </x:c>
      <x:c r="F378" s="38" t="str">
        <x:v>是</x:v>
      </x:c>
      <x:c r="G378" s="38" t="str">
        <x:v>OSM建筑中心</x:v>
      </x:c>
      <x:c r="H378" s="38" t="str">
        <x:v>住宅建筑聚合区07</x:v>
      </x:c>
      <x:c r="I378" s="2"/>
      <x:c r="J378" s="2"/>
      <x:c r="K378" s="2"/>
      <x:c r="L378" s="2"/>
      <x:c r="M378" s="2"/>
      <x:c r="N378" s="2"/>
      <x:c r="O378" s="2"/>
      <x:c r="P378" s="2"/>
      <x:c r="Q378" s="2"/>
      <x:c r="R378" s="2"/>
      <x:c r="S378" s="2"/>
      <x:c r="T378" s="2"/>
      <x:c r="U378" s="2"/>
      <x:c r="V378" s="2"/>
    </x:row>
    <x:row r="379" ht="28" customHeight="1">
      <x:c r="A379" s="38" t="str">
        <x:v>C05-RD08</x:v>
      </x:c>
      <x:c r="B379" s="38" t="str">
        <x:v>C05</x:v>
      </x:c>
      <x:c r="C379" s="38" t="str">
        <x:v>需求接入点</x:v>
      </x:c>
      <x:c r="D379" s="48" t="n">
        <x:v>116.4853452</x:v>
      </x:c>
      <x:c r="E379" s="48" t="n">
        <x:v>39.796176</x:v>
      </x:c>
      <x:c r="F379" s="38" t="str">
        <x:v>是</x:v>
      </x:c>
      <x:c r="G379" s="38" t="str">
        <x:v>OSM建筑中心</x:v>
      </x:c>
      <x:c r="H379" s="38" t="str">
        <x:v>住宅建筑聚合区08</x:v>
      </x:c>
      <x:c r="I379" s="2"/>
      <x:c r="J379" s="2"/>
      <x:c r="K379" s="2"/>
      <x:c r="L379" s="2"/>
      <x:c r="M379" s="2"/>
      <x:c r="N379" s="2"/>
      <x:c r="O379" s="2"/>
      <x:c r="P379" s="2"/>
      <x:c r="Q379" s="2"/>
      <x:c r="R379" s="2"/>
      <x:c r="S379" s="2"/>
      <x:c r="T379" s="2"/>
      <x:c r="U379" s="2"/>
      <x:c r="V379" s="2"/>
    </x:row>
    <x:row r="380" ht="28" customHeight="1">
      <x:c r="A380" s="38" t="str">
        <x:v>C05-RD09</x:v>
      </x:c>
      <x:c r="B380" s="38" t="str">
        <x:v>C05</x:v>
      </x:c>
      <x:c r="C380" s="38" t="str">
        <x:v>需求接入点</x:v>
      </x:c>
      <x:c r="D380" s="48" t="n">
        <x:v>116.4845193</x:v>
      </x:c>
      <x:c r="E380" s="48" t="n">
        <x:v>39.7960583</x:v>
      </x:c>
      <x:c r="F380" s="38" t="str">
        <x:v>是</x:v>
      </x:c>
      <x:c r="G380" s="38" t="str">
        <x:v>OSM建筑中心</x:v>
      </x:c>
      <x:c r="H380" s="38" t="str">
        <x:v>住宅建筑聚合区09</x:v>
      </x:c>
      <x:c r="I380" s="2"/>
      <x:c r="J380" s="2"/>
      <x:c r="K380" s="2"/>
      <x:c r="L380" s="2"/>
      <x:c r="M380" s="2"/>
      <x:c r="N380" s="2"/>
      <x:c r="O380" s="2"/>
      <x:c r="P380" s="2"/>
      <x:c r="Q380" s="2"/>
      <x:c r="R380" s="2"/>
      <x:c r="S380" s="2"/>
      <x:c r="T380" s="2"/>
      <x:c r="U380" s="2"/>
      <x:c r="V380" s="2"/>
    </x:row>
    <x:row r="381" ht="28" customHeight="1">
      <x:c r="A381" s="38" t="str">
        <x:v>C05-RD10</x:v>
      </x:c>
      <x:c r="B381" s="38" t="str">
        <x:v>C05</x:v>
      </x:c>
      <x:c r="C381" s="38" t="str">
        <x:v>需求接入点</x:v>
      </x:c>
      <x:c r="D381" s="48" t="n">
        <x:v>116.4835214</x:v>
      </x:c>
      <x:c r="E381" s="48" t="n">
        <x:v>39.7958116</x:v>
      </x:c>
      <x:c r="F381" s="38" t="str">
        <x:v>是</x:v>
      </x:c>
      <x:c r="G381" s="38" t="str">
        <x:v>OSM建筑中心</x:v>
      </x:c>
      <x:c r="H381" s="38" t="str">
        <x:v>住宅建筑聚合区10</x:v>
      </x:c>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conditionalFormatting sqref="G6:G381">
    <x:cfRule type="containsText" dxfId="6" priority="1" operator="containsText" text="情景"/>
  </x:conditionalFormatting>
  <x:pageMargins left="0.7" right="0.7" top="0.75" bottom="0.75" header="0.3" footer="0.3"/>
  <x:tableParts count="1">
    <x:tablePart xmlns:r="http://schemas.openxmlformats.org/officeDocument/2006/relationships" r:id="R55445f87d0b34c22"/>
  </x:tableParts>
</x:worksheet>
</file>

<file path=xl/worksheets/sheet8.xml><?xml version="1.0" encoding="utf-8"?>
<x:worksheet xmlns:x="http://schemas.openxmlformats.org/spreadsheetml/2006/main">
  <x:sheetPr>
    <x:tabColor rgb="FF70AD47"/>
  </x:sheetPr>
  <x:sheetViews>
    <x:sheetView showGridLines="0" workbookViewId="0">
      <x:pane xSplit="4" ySplit="5" topLeftCell="E6" activePane="bottomRight" state="frozen"/>
    </x:sheetView>
  </x:sheetViews>
  <x:sheetFormatPr defaultRowHeight="15"/>
  <x:cols>
    <x:col min="1" max="1" width="17" hidden="0" customWidth="1"/>
    <x:col min="2" max="2" width="11" hidden="0" customWidth="1"/>
    <x:col min="3" max="3" width="17" hidden="0" customWidth="1"/>
    <x:col min="4" max="4" width="17" hidden="0" customWidth="1"/>
    <x:col min="5" max="5" width="12" hidden="0" customWidth="1"/>
    <x:col min="6" max="6" width="12" hidden="0" customWidth="1"/>
    <x:col min="7" max="7" width="16" hidden="0" customWidth="1"/>
    <x:col min="8" max="8" width="14" hidden="0" customWidth="1"/>
    <x:col min="9" max="9" width="11" hidden="0" customWidth="1"/>
    <x:col min="10" max="10" width="32" hidden="0" customWidth="1"/>
    <x:col min="11" max="11" width="12" hidden="0" customWidth="1"/>
    <x:col min="12" max="12" width="15" hidden="0" customWidth="1"/>
    <x:col min="13" max="13" width="22" hidden="0" customWidth="1"/>
    <x:col min="14" max="14" width="12" hidden="0" customWidth="1"/>
    <x:col min="15" max="15" width="28" hidden="0" customWidth="1"/>
    <x:col min="16" max="16" width="38"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路网边</x:v>
      </x:c>
      <x:c r="B2" s="2"/>
      <x:c r="C2" s="2"/>
      <x:c r="D2" s="2"/>
      <x:c r="E2" s="2"/>
      <x:c r="F2" s="2"/>
      <x:c r="G2" s="2"/>
      <x:c r="H2" s="2"/>
      <x:c r="I2" s="2"/>
      <x:c r="J2" s="2"/>
      <x:c r="K2" s="2"/>
      <x:c r="L2" s="2"/>
      <x:c r="M2" s="2"/>
      <x:c r="N2" s="2"/>
      <x:c r="O2" s="2"/>
      <x:c r="P2" s="2"/>
      <x:c r="Q2" s="2"/>
      <x:c r="R2" s="2"/>
      <x:c r="S2" s="2"/>
      <x:c r="T2" s="2"/>
      <x:c r="U2" s="2"/>
      <x:c r="V2" s="2"/>
    </x:row>
    <x:row r="3">
      <x:c r="A3" s="5" t="str">
        <x:v>边表可直接构建图网络。通行时间=距离÷速度。情景路网必须现场校准后才能用于车辆执行。</x:v>
      </x:c>
      <x:c r="B3" s="4"/>
      <x:c r="C3" s="4"/>
      <x:c r="D3" s="4"/>
      <x:c r="E3" s="4"/>
      <x:c r="F3" s="4"/>
      <x:c r="G3" s="4"/>
      <x:c r="H3" s="4"/>
      <x:c r="I3" s="4"/>
      <x:c r="J3" s="4"/>
      <x:c r="K3" s="4"/>
      <x:c r="L3" s="4"/>
      <x:c r="M3" s="4"/>
      <x:c r="N3" s="4"/>
      <x:c r="O3" s="4"/>
      <x:c r="P3" s="4"/>
      <x:c r="Q3" s="2"/>
      <x:c r="R3" s="2"/>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x:c r="A5" s="14" t="str">
        <x:v>路段ID</x:v>
      </x:c>
      <x:c r="B5" s="15" t="str">
        <x:v>社区ID</x:v>
      </x:c>
      <x:c r="C5" s="15" t="str">
        <x:v>起点ID</x:v>
      </x:c>
      <x:c r="D5" s="15" t="str">
        <x:v>终点ID</x:v>
      </x:c>
      <x:c r="E5" s="15" t="str">
        <x:v>距离m</x:v>
      </x:c>
      <x:c r="F5" s="15" t="str">
        <x:v>是否双向</x:v>
      </x:c>
      <x:c r="G5" s="15" t="str">
        <x:v>无人车可通行</x:v>
      </x:c>
      <x:c r="H5" s="15" t="str">
        <x:v>道路净宽m</x:v>
      </x:c>
      <x:c r="I5" s="15" t="str">
        <x:v>坡度%</x:v>
      </x:c>
      <x:c r="J5" s="15" t="str">
        <x:v>障碍类型</x:v>
      </x:c>
      <x:c r="K5" s="15" t="str">
        <x:v>速度m/s</x:v>
      </x:c>
      <x:c r="L5" s="15" t="str">
        <x:v>通行时间s</x:v>
      </x:c>
      <x:c r="M5" s="15" t="str">
        <x:v>开放时间</x:v>
      </x:c>
      <x:c r="N5" s="15" t="str">
        <x:v>风险系数</x:v>
      </x:c>
      <x:c r="O5" s="15" t="str">
        <x:v>数据状态</x:v>
      </x:c>
      <x:c r="P5" s="16" t="str">
        <x:v>来源</x:v>
      </x:c>
      <x:c r="Q5" s="2"/>
      <x:c r="R5" s="2"/>
      <x:c r="S5" s="2"/>
      <x:c r="T5" s="2"/>
      <x:c r="U5" s="2"/>
      <x:c r="V5" s="2"/>
    </x:row>
    <x:row r="6" ht="34" customHeight="1">
      <x:c r="A6" s="38" t="str">
        <x:v>C01-E001</x:v>
      </x:c>
      <x:c r="B6" s="38" t="str">
        <x:v>C01</x:v>
      </x:c>
      <x:c r="C6" s="38" t="str">
        <x:v>C01-R014</x:v>
      </x:c>
      <x:c r="D6" s="38" t="str">
        <x:v>C01-R016</x:v>
      </x:c>
      <x:c r="E6" s="55" t="n">
        <x:v>10</x:v>
      </x:c>
      <x:c r="F6" s="38" t="str">
        <x:v>否</x:v>
      </x:c>
      <x:c r="G6" s="38" t="str">
        <x:v>是</x:v>
      </x:c>
      <x:c r="H6" s="49" t="n">
        <x:v>7.5</x:v>
      </x:c>
      <x:c r="I6" s="49" t="n">
        <x:v>0.3</x:v>
      </x:c>
      <x:c r="J6" s="49" t="str">
        <x:v>无（缘石高差，路侧停车待核）</x:v>
      </x:c>
      <x:c r="K6" s="49" t="n">
        <x:v>3.33</x:v>
      </x:c>
      <x:c r="L6" s="58" t="n">
        <x:f>IF(OR(E6="",K6="",K6=0),"n.a.",E6/K6)</x:f>
        <x:v>3.003003003003003</x:v>
      </x:c>
      <x:c r="M6" s="38"/>
      <x:c r="N6" s="59" t="n">
        <x:v>0.3</x:v>
      </x:c>
      <x:c r="O6" s="38" t="str">
        <x:v>OSM</x:v>
      </x:c>
      <x:c r="P6" s="38" t="str">
        <x:v>原始社区数据表</x:v>
      </x:c>
      <x:c r="Q6" s="2"/>
      <x:c r="R6" s="2"/>
      <x:c r="S6" s="2"/>
      <x:c r="T6" s="2"/>
      <x:c r="U6" s="2"/>
      <x:c r="V6" s="2"/>
    </x:row>
    <x:row r="7" ht="34" customHeight="1">
      <x:c r="A7" s="38" t="str">
        <x:v>C01-E002</x:v>
      </x:c>
      <x:c r="B7" s="38" t="str">
        <x:v>C01</x:v>
      </x:c>
      <x:c r="C7" s="38" t="str">
        <x:v>C01-R016</x:v>
      </x:c>
      <x:c r="D7" s="38" t="str">
        <x:v>C01-R018</x:v>
      </x:c>
      <x:c r="E7" s="55" t="n">
        <x:v>22.6</x:v>
      </x:c>
      <x:c r="F7" s="38" t="str">
        <x:v>否</x:v>
      </x:c>
      <x:c r="G7" s="38" t="str">
        <x:v>是</x:v>
      </x:c>
      <x:c r="H7" s="49" t="n">
        <x:v>7.5</x:v>
      </x:c>
      <x:c r="I7" s="49" t="n">
        <x:v>0.3</x:v>
      </x:c>
      <x:c r="J7" s="49" t="str">
        <x:v>无（缘石高差，路侧停车待核）</x:v>
      </x:c>
      <x:c r="K7" s="49" t="n">
        <x:v>3.33</x:v>
      </x:c>
      <x:c r="L7" s="58" t="n">
        <x:f>IF(OR(E7="",K7="",K7=0),"n.a.",E7/K7)</x:f>
        <x:v>6.786786786786787</x:v>
      </x:c>
      <x:c r="M7" s="38"/>
      <x:c r="N7" s="59" t="n">
        <x:v>0.3</x:v>
      </x:c>
      <x:c r="O7" s="38" t="str">
        <x:v>OSM</x:v>
      </x:c>
      <x:c r="P7" s="38" t="str">
        <x:v>原始社区数据表</x:v>
      </x:c>
      <x:c r="Q7" s="2"/>
      <x:c r="R7" s="2"/>
      <x:c r="S7" s="2"/>
      <x:c r="T7" s="2"/>
      <x:c r="U7" s="2"/>
      <x:c r="V7" s="2"/>
    </x:row>
    <x:row r="8" ht="34" customHeight="1">
      <x:c r="A8" s="38" t="str">
        <x:v>C01-E003</x:v>
      </x:c>
      <x:c r="B8" s="38" t="str">
        <x:v>C01</x:v>
      </x:c>
      <x:c r="C8" s="38" t="str">
        <x:v>C01-R018</x:v>
      </x:c>
      <x:c r="D8" s="38" t="str">
        <x:v>C01-R025</x:v>
      </x:c>
      <x:c r="E8" s="55" t="n">
        <x:v>249.7</x:v>
      </x:c>
      <x:c r="F8" s="38" t="str">
        <x:v>否</x:v>
      </x:c>
      <x:c r="G8" s="38" t="str">
        <x:v>是</x:v>
      </x:c>
      <x:c r="H8" s="49" t="n">
        <x:v>7.5</x:v>
      </x:c>
      <x:c r="I8" s="49" t="n">
        <x:v>0.3</x:v>
      </x:c>
      <x:c r="J8" s="49" t="str">
        <x:v>无（缘石高差，路侧停车待核）</x:v>
      </x:c>
      <x:c r="K8" s="49" t="n">
        <x:v>3.33</x:v>
      </x:c>
      <x:c r="L8" s="58" t="n">
        <x:f>IF(OR(E8="",K8="",K8=0),"n.a.",E8/K8)</x:f>
        <x:v>74.98498498498498</x:v>
      </x:c>
      <x:c r="M8" s="38"/>
      <x:c r="N8" s="59" t="n">
        <x:v>0.3</x:v>
      </x:c>
      <x:c r="O8" s="38" t="str">
        <x:v>OSM</x:v>
      </x:c>
      <x:c r="P8" s="38" t="str">
        <x:v>原始社区数据表</x:v>
      </x:c>
      <x:c r="Q8" s="2"/>
      <x:c r="R8" s="2"/>
      <x:c r="S8" s="2"/>
      <x:c r="T8" s="2"/>
      <x:c r="U8" s="2"/>
      <x:c r="V8" s="2"/>
    </x:row>
    <x:row r="9" ht="34" customHeight="1">
      <x:c r="A9" s="38" t="str">
        <x:v>C01-E004</x:v>
      </x:c>
      <x:c r="B9" s="38" t="str">
        <x:v>C01</x:v>
      </x:c>
      <x:c r="C9" s="38" t="str">
        <x:v>C01-R003</x:v>
      </x:c>
      <x:c r="D9" s="38" t="str">
        <x:v>C01-R009</x:v>
      </x:c>
      <x:c r="E9" s="55" t="n">
        <x:v>92.9</x:v>
      </x:c>
      <x:c r="F9" s="38" t="str">
        <x:v>否</x:v>
      </x:c>
      <x:c r="G9" s="38" t="str">
        <x:v>是</x:v>
      </x:c>
      <x:c r="H9" s="49" t="n">
        <x:v>7.5</x:v>
      </x:c>
      <x:c r="I9" s="49" t="n">
        <x:v>0.3</x:v>
      </x:c>
      <x:c r="J9" s="49" t="str">
        <x:v>无（缘石高差，路侧停车待核）</x:v>
      </x:c>
      <x:c r="K9" s="49" t="n">
        <x:v>3.33</x:v>
      </x:c>
      <x:c r="L9" s="58" t="n">
        <x:f>IF(OR(E9="",K9="",K9=0),"n.a.",E9/K9)</x:f>
        <x:v>27.8978978978979</x:v>
      </x:c>
      <x:c r="M9" s="38"/>
      <x:c r="N9" s="59" t="n">
        <x:v>0.3</x:v>
      </x:c>
      <x:c r="O9" s="38" t="str">
        <x:v>OSM</x:v>
      </x:c>
      <x:c r="P9" s="38" t="str">
        <x:v>原始社区数据表</x:v>
      </x:c>
      <x:c r="Q9" s="2"/>
      <x:c r="R9" s="2"/>
      <x:c r="S9" s="2"/>
      <x:c r="T9" s="2"/>
      <x:c r="U9" s="2"/>
      <x:c r="V9" s="2"/>
    </x:row>
    <x:row r="10" ht="34" customHeight="1">
      <x:c r="A10" s="38" t="str">
        <x:v>C01-E005</x:v>
      </x:c>
      <x:c r="B10" s="38" t="str">
        <x:v>C01</x:v>
      </x:c>
      <x:c r="C10" s="38" t="str">
        <x:v>C01-R009</x:v>
      </x:c>
      <x:c r="D10" s="38" t="str">
        <x:v>C01-R016</x:v>
      </x:c>
      <x:c r="E10" s="55" t="n">
        <x:v>89.7</x:v>
      </x:c>
      <x:c r="F10" s="38" t="str">
        <x:v>否</x:v>
      </x:c>
      <x:c r="G10" s="38" t="str">
        <x:v>是</x:v>
      </x:c>
      <x:c r="H10" s="49" t="n">
        <x:v>7.5</x:v>
      </x:c>
      <x:c r="I10" s="49" t="n">
        <x:v>0.3</x:v>
      </x:c>
      <x:c r="J10" s="49" t="str">
        <x:v>无（缘石高差，路侧停车待核）</x:v>
      </x:c>
      <x:c r="K10" s="49" t="n">
        <x:v>3.33</x:v>
      </x:c>
      <x:c r="L10" s="58" t="n">
        <x:f>IF(OR(E10="",K10="",K10=0),"n.a.",E10/K10)</x:f>
        <x:v>26.936936936936938</x:v>
      </x:c>
      <x:c r="M10" s="38"/>
      <x:c r="N10" s="59" t="n">
        <x:v>0.3</x:v>
      </x:c>
      <x:c r="O10" s="38" t="str">
        <x:v>OSM</x:v>
      </x:c>
      <x:c r="P10" s="38" t="str">
        <x:v>原始社区数据表</x:v>
      </x:c>
      <x:c r="Q10" s="2"/>
      <x:c r="R10" s="2"/>
      <x:c r="S10" s="2"/>
      <x:c r="T10" s="2"/>
      <x:c r="U10" s="2"/>
      <x:c r="V10" s="2"/>
    </x:row>
    <x:row r="11" ht="34" customHeight="1">
      <x:c r="A11" s="38" t="str">
        <x:v>C01-E006</x:v>
      </x:c>
      <x:c r="B11" s="38" t="str">
        <x:v>C01</x:v>
      </x:c>
      <x:c r="C11" s="38" t="str">
        <x:v>C01-R016</x:v>
      </x:c>
      <x:c r="D11" s="38" t="str">
        <x:v>C01-R017</x:v>
      </x:c>
      <x:c r="E11" s="55" t="n">
        <x:v>14.6</x:v>
      </x:c>
      <x:c r="F11" s="38" t="str">
        <x:v>否</x:v>
      </x:c>
      <x:c r="G11" s="38" t="str">
        <x:v>是</x:v>
      </x:c>
      <x:c r="H11" s="49" t="n">
        <x:v>7.5</x:v>
      </x:c>
      <x:c r="I11" s="49" t="n">
        <x:v>0.3</x:v>
      </x:c>
      <x:c r="J11" s="49" t="str">
        <x:v>无（缘石高差，路侧停车待核）</x:v>
      </x:c>
      <x:c r="K11" s="49" t="n">
        <x:v>3.33</x:v>
      </x:c>
      <x:c r="L11" s="58" t="n">
        <x:f>IF(OR(E11="",K11="",K11=0),"n.a.",E11/K11)</x:f>
        <x:v>4.384384384384385</x:v>
      </x:c>
      <x:c r="M11" s="38"/>
      <x:c r="N11" s="59" t="n">
        <x:v>0.3</x:v>
      </x:c>
      <x:c r="O11" s="38" t="str">
        <x:v>OSM</x:v>
      </x:c>
      <x:c r="P11" s="38" t="str">
        <x:v>原始社区数据表</x:v>
      </x:c>
      <x:c r="Q11" s="2"/>
      <x:c r="R11" s="2"/>
      <x:c r="S11" s="2"/>
      <x:c r="T11" s="2"/>
      <x:c r="U11" s="2"/>
      <x:c r="V11" s="2"/>
    </x:row>
    <x:row r="12" ht="34" customHeight="1">
      <x:c r="A12" s="38" t="str">
        <x:v>C01-E007</x:v>
      </x:c>
      <x:c r="B12" s="38" t="str">
        <x:v>C01</x:v>
      </x:c>
      <x:c r="C12" s="38" t="str">
        <x:v>C01-R017</x:v>
      </x:c>
      <x:c r="D12" s="38" t="str">
        <x:v>C01-R015</x:v>
      </x:c>
      <x:c r="E12" s="55" t="n">
        <x:v>19.6</x:v>
      </x:c>
      <x:c r="F12" s="38" t="str">
        <x:v>否</x:v>
      </x:c>
      <x:c r="G12" s="38" t="str">
        <x:v>是</x:v>
      </x:c>
      <x:c r="H12" s="49" t="n">
        <x:v>7.5</x:v>
      </x:c>
      <x:c r="I12" s="49" t="n">
        <x:v>0.3</x:v>
      </x:c>
      <x:c r="J12" s="49" t="str">
        <x:v>无（缘石高差，路侧停车待核）</x:v>
      </x:c>
      <x:c r="K12" s="49" t="n">
        <x:v>3.33</x:v>
      </x:c>
      <x:c r="L12" s="58" t="n">
        <x:f>IF(OR(E12="",K12="",K12=0),"n.a.",E12/K12)</x:f>
        <x:v>5.8858858858858865</x:v>
      </x:c>
      <x:c r="M12" s="38"/>
      <x:c r="N12" s="59" t="n">
        <x:v>0.3</x:v>
      </x:c>
      <x:c r="O12" s="38" t="str">
        <x:v>OSM</x:v>
      </x:c>
      <x:c r="P12" s="38" t="str">
        <x:v>原始社区数据表</x:v>
      </x:c>
      <x:c r="Q12" s="2"/>
      <x:c r="R12" s="2"/>
      <x:c r="S12" s="2"/>
      <x:c r="T12" s="2"/>
      <x:c r="U12" s="2"/>
      <x:c r="V12" s="2"/>
    </x:row>
    <x:row r="13" ht="34" customHeight="1">
      <x:c r="A13" s="38" t="str">
        <x:v>C01-E008</x:v>
      </x:c>
      <x:c r="B13" s="38" t="str">
        <x:v>C01</x:v>
      </x:c>
      <x:c r="C13" s="38" t="str">
        <x:v>C01-R015</x:v>
      </x:c>
      <x:c r="D13" s="38" t="str">
        <x:v>C01-R002</x:v>
      </x:c>
      <x:c r="E13" s="55" t="n">
        <x:v>437</x:v>
      </x:c>
      <x:c r="F13" s="38" t="str">
        <x:v>否</x:v>
      </x:c>
      <x:c r="G13" s="38" t="str">
        <x:v>是</x:v>
      </x:c>
      <x:c r="H13" s="49" t="n">
        <x:v>7.5</x:v>
      </x:c>
      <x:c r="I13" s="49" t="n">
        <x:v>0.3</x:v>
      </x:c>
      <x:c r="J13" s="49" t="str">
        <x:v>无（缘石高差，路侧停车待核）</x:v>
      </x:c>
      <x:c r="K13" s="49" t="n">
        <x:v>3.33</x:v>
      </x:c>
      <x:c r="L13" s="58" t="n">
        <x:f>IF(OR(E13="",K13="",K13=0),"n.a.",E13/K13)</x:f>
        <x:v>131.23123123123122</x:v>
      </x:c>
      <x:c r="M13" s="38"/>
      <x:c r="N13" s="59" t="n">
        <x:v>0.3</x:v>
      </x:c>
      <x:c r="O13" s="38" t="str">
        <x:v>OSM</x:v>
      </x:c>
      <x:c r="P13" s="38" t="str">
        <x:v>原始社区数据表</x:v>
      </x:c>
      <x:c r="Q13" s="2"/>
      <x:c r="R13" s="2"/>
      <x:c r="S13" s="2"/>
      <x:c r="T13" s="2"/>
      <x:c r="U13" s="2"/>
      <x:c r="V13" s="2"/>
    </x:row>
    <x:row r="14" ht="34" customHeight="1">
      <x:c r="A14" s="38" t="str">
        <x:v>C01-E009</x:v>
      </x:c>
      <x:c r="B14" s="38" t="str">
        <x:v>C01</x:v>
      </x:c>
      <x:c r="C14" s="38" t="str">
        <x:v>C01-R017</x:v>
      </x:c>
      <x:c r="D14" s="38" t="str">
        <x:v>C01-R027</x:v>
      </x:c>
      <x:c r="E14" s="55" t="n">
        <x:v>78.8</x:v>
      </x:c>
      <x:c r="F14" s="38" t="str">
        <x:v>是</x:v>
      </x:c>
      <x:c r="G14" s="38" t="str">
        <x:v>是</x:v>
      </x:c>
      <x:c r="H14" s="49" t="n">
        <x:v>7.5</x:v>
      </x:c>
      <x:c r="I14" s="49" t="n">
        <x:v>0.3</x:v>
      </x:c>
      <x:c r="J14" s="49" t="str">
        <x:v>无（缘石高差，路侧停车待核）</x:v>
      </x:c>
      <x:c r="K14" s="49" t="n">
        <x:v>3.33</x:v>
      </x:c>
      <x:c r="L14" s="58" t="n">
        <x:f>IF(OR(E14="",K14="",K14=0),"n.a.",E14/K14)</x:f>
        <x:v>23.663663663663662</x:v>
      </x:c>
      <x:c r="M14" s="38"/>
      <x:c r="N14" s="59" t="n">
        <x:v>0.3</x:v>
      </x:c>
      <x:c r="O14" s="38" t="str">
        <x:v>OSM</x:v>
      </x:c>
      <x:c r="P14" s="38" t="str">
        <x:v>原始社区数据表</x:v>
      </x:c>
      <x:c r="Q14" s="2"/>
      <x:c r="R14" s="2"/>
      <x:c r="S14" s="2"/>
      <x:c r="T14" s="2"/>
      <x:c r="U14" s="2"/>
      <x:c r="V14" s="2"/>
    </x:row>
    <x:row r="15" ht="34" customHeight="1">
      <x:c r="A15" s="38" t="str">
        <x:v>C01-E010</x:v>
      </x:c>
      <x:c r="B15" s="38" t="str">
        <x:v>C01</x:v>
      </x:c>
      <x:c r="C15" s="38" t="str">
        <x:v>C01-R027</x:v>
      </x:c>
      <x:c r="D15" s="38" t="str">
        <x:v>C01-R028</x:v>
      </x:c>
      <x:c r="E15" s="55" t="n">
        <x:v>51</x:v>
      </x:c>
      <x:c r="F15" s="38" t="str">
        <x:v>是</x:v>
      </x:c>
      <x:c r="G15" s="38" t="str">
        <x:v>是</x:v>
      </x:c>
      <x:c r="H15" s="49" t="n">
        <x:v>7.5</x:v>
      </x:c>
      <x:c r="I15" s="49" t="n">
        <x:v>0.3</x:v>
      </x:c>
      <x:c r="J15" s="49" t="str">
        <x:v>无（缘石高差，路侧停车待核）</x:v>
      </x:c>
      <x:c r="K15" s="49" t="n">
        <x:v>3.33</x:v>
      </x:c>
      <x:c r="L15" s="58" t="n">
        <x:f>IF(OR(E15="",K15="",K15=0),"n.a.",E15/K15)</x:f>
        <x:v>15.315315315315315</x:v>
      </x:c>
      <x:c r="M15" s="38"/>
      <x:c r="N15" s="59" t="n">
        <x:v>0.3</x:v>
      </x:c>
      <x:c r="O15" s="38" t="str">
        <x:v>OSM</x:v>
      </x:c>
      <x:c r="P15" s="38" t="str">
        <x:v>原始社区数据表</x:v>
      </x:c>
      <x:c r="Q15" s="2"/>
      <x:c r="R15" s="2"/>
      <x:c r="S15" s="2"/>
      <x:c r="T15" s="2"/>
      <x:c r="U15" s="2"/>
      <x:c r="V15" s="2"/>
    </x:row>
    <x:row r="16" ht="34" customHeight="1">
      <x:c r="A16" s="38" t="str">
        <x:v>C01-E011</x:v>
      </x:c>
      <x:c r="B16" s="38" t="str">
        <x:v>C01</x:v>
      </x:c>
      <x:c r="C16" s="38" t="str">
        <x:v>C01-R028</x:v>
      </x:c>
      <x:c r="D16" s="38" t="str">
        <x:v>C01-R035</x:v>
      </x:c>
      <x:c r="E16" s="55" t="n">
        <x:v>46.9</x:v>
      </x:c>
      <x:c r="F16" s="38" t="str">
        <x:v>是</x:v>
      </x:c>
      <x:c r="G16" s="38" t="str">
        <x:v>是</x:v>
      </x:c>
      <x:c r="H16" s="49" t="n">
        <x:v>7.5</x:v>
      </x:c>
      <x:c r="I16" s="49" t="n">
        <x:v>0.3</x:v>
      </x:c>
      <x:c r="J16" s="49" t="str">
        <x:v>无（缘石高差，路侧停车待核）</x:v>
      </x:c>
      <x:c r="K16" s="49" t="n">
        <x:v>3.33</x:v>
      </x:c>
      <x:c r="L16" s="58" t="n">
        <x:f>IF(OR(E16="",K16="",K16=0),"n.a.",E16/K16)</x:f>
        <x:v>14.084084084084083</x:v>
      </x:c>
      <x:c r="M16" s="38"/>
      <x:c r="N16" s="59" t="n">
        <x:v>0.3</x:v>
      </x:c>
      <x:c r="O16" s="38" t="str">
        <x:v>OSM</x:v>
      </x:c>
      <x:c r="P16" s="38" t="str">
        <x:v>原始社区数据表</x:v>
      </x:c>
      <x:c r="Q16" s="2"/>
      <x:c r="R16" s="2"/>
      <x:c r="S16" s="2"/>
      <x:c r="T16" s="2"/>
      <x:c r="U16" s="2"/>
      <x:c r="V16" s="2"/>
    </x:row>
    <x:row r="17" ht="34" customHeight="1">
      <x:c r="A17" s="38" t="str">
        <x:v>C01-E012</x:v>
      </x:c>
      <x:c r="B17" s="38" t="str">
        <x:v>C01</x:v>
      </x:c>
      <x:c r="C17" s="38" t="str">
        <x:v>C01-R035</x:v>
      </x:c>
      <x:c r="D17" s="38" t="str">
        <x:v>C01-R037</x:v>
      </x:c>
      <x:c r="E17" s="55" t="n">
        <x:v>58.1</x:v>
      </x:c>
      <x:c r="F17" s="38" t="str">
        <x:v>是</x:v>
      </x:c>
      <x:c r="G17" s="38" t="str">
        <x:v>是</x:v>
      </x:c>
      <x:c r="H17" s="49" t="n">
        <x:v>7.5</x:v>
      </x:c>
      <x:c r="I17" s="49" t="n">
        <x:v>0.3</x:v>
      </x:c>
      <x:c r="J17" s="49" t="str">
        <x:v>无（缘石高差，路侧停车待核）</x:v>
      </x:c>
      <x:c r="K17" s="49" t="n">
        <x:v>3.33</x:v>
      </x:c>
      <x:c r="L17" s="58" t="n">
        <x:f>IF(OR(E17="",K17="",K17=0),"n.a.",E17/K17)</x:f>
        <x:v>17.44744744744745</x:v>
      </x:c>
      <x:c r="M17" s="38"/>
      <x:c r="N17" s="59" t="n">
        <x:v>0.3</x:v>
      </x:c>
      <x:c r="O17" s="38" t="str">
        <x:v>OSM</x:v>
      </x:c>
      <x:c r="P17" s="38" t="str">
        <x:v>原始社区数据表</x:v>
      </x:c>
      <x:c r="Q17" s="2"/>
      <x:c r="R17" s="2"/>
      <x:c r="S17" s="2"/>
      <x:c r="T17" s="2"/>
      <x:c r="U17" s="2"/>
      <x:c r="V17" s="2"/>
    </x:row>
    <x:row r="18" ht="34" customHeight="1">
      <x:c r="A18" s="38" t="str">
        <x:v>C01-E013</x:v>
      </x:c>
      <x:c r="B18" s="38" t="str">
        <x:v>C01</x:v>
      </x:c>
      <x:c r="C18" s="38" t="str">
        <x:v>C01-R037</x:v>
      </x:c>
      <x:c r="D18" s="38" t="str">
        <x:v>C01-R045</x:v>
      </x:c>
      <x:c r="E18" s="55" t="n">
        <x:v>214.1</x:v>
      </x:c>
      <x:c r="F18" s="38" t="str">
        <x:v>是</x:v>
      </x:c>
      <x:c r="G18" s="38" t="str">
        <x:v>是</x:v>
      </x:c>
      <x:c r="H18" s="49" t="n">
        <x:v>7.5</x:v>
      </x:c>
      <x:c r="I18" s="49" t="n">
        <x:v>0.3</x:v>
      </x:c>
      <x:c r="J18" s="49" t="str">
        <x:v>无（缘石高差，路侧停车待核）</x:v>
      </x:c>
      <x:c r="K18" s="49" t="n">
        <x:v>3.33</x:v>
      </x:c>
      <x:c r="L18" s="58" t="n">
        <x:f>IF(OR(E18="",K18="",K18=0),"n.a.",E18/K18)</x:f>
        <x:v>64.29429429429429</x:v>
      </x:c>
      <x:c r="M18" s="38"/>
      <x:c r="N18" s="59" t="n">
        <x:v>0.3</x:v>
      </x:c>
      <x:c r="O18" s="38" t="str">
        <x:v>OSM</x:v>
      </x:c>
      <x:c r="P18" s="38" t="str">
        <x:v>原始社区数据表</x:v>
      </x:c>
      <x:c r="Q18" s="2"/>
      <x:c r="R18" s="2"/>
      <x:c r="S18" s="2"/>
      <x:c r="T18" s="2"/>
      <x:c r="U18" s="2"/>
      <x:c r="V18" s="2"/>
    </x:row>
    <x:row r="19" ht="34" customHeight="1">
      <x:c r="A19" s="38" t="str">
        <x:v>C01-E014</x:v>
      </x:c>
      <x:c r="B19" s="38" t="str">
        <x:v>C01</x:v>
      </x:c>
      <x:c r="C19" s="38" t="str">
        <x:v>C01-R007</x:v>
      </x:c>
      <x:c r="D19" s="38" t="str">
        <x:v>C01-R022</x:v>
      </x:c>
      <x:c r="E19" s="55" t="n">
        <x:v>199.1</x:v>
      </x:c>
      <x:c r="F19" s="38" t="str">
        <x:v>是</x:v>
      </x:c>
      <x:c r="G19" s="38" t="str">
        <x:v>待核验</x:v>
      </x:c>
      <x:c r="H19" s="49" t="n">
        <x:v>3.5</x:v>
      </x:c>
      <x:c r="I19" s="49" t="n">
        <x:v>0.5</x:v>
      </x:c>
      <x:c r="J19" s="49" t="str">
        <x:v>待核验（可能设路桩、台阶）</x:v>
      </x:c>
      <x:c r="K19" s="49" t="n">
        <x:v>2.22</x:v>
      </x:c>
      <x:c r="L19" s="58" t="n">
        <x:f>IF(OR(E19="",K19="",K19=0),"n.a.",E19/K19)</x:f>
        <x:v>89.68468468468467</x:v>
      </x:c>
      <x:c r="M19" s="38" t="str">
        <x:v>06:00—23:00（推定）</x:v>
      </x:c>
      <x:c r="N19" s="59" t="n">
        <x:v>0.4</x:v>
      </x:c>
      <x:c r="O19" s="38" t="str">
        <x:v>OSM</x:v>
      </x:c>
      <x:c r="P19" s="38" t="str">
        <x:v>原始社区数据表</x:v>
      </x:c>
      <x:c r="Q19" s="2"/>
      <x:c r="R19" s="2"/>
      <x:c r="S19" s="2"/>
      <x:c r="T19" s="2"/>
      <x:c r="U19" s="2"/>
      <x:c r="V19" s="2"/>
    </x:row>
    <x:row r="20" ht="34" customHeight="1">
      <x:c r="A20" s="38" t="str">
        <x:v>C01-E015</x:v>
      </x:c>
      <x:c r="B20" s="38" t="str">
        <x:v>C01</x:v>
      </x:c>
      <x:c r="C20" s="38" t="str">
        <x:v>C01-R022</x:v>
      </x:c>
      <x:c r="D20" s="38" t="str">
        <x:v>C01-R032</x:v>
      </x:c>
      <x:c r="E20" s="55" t="n">
        <x:v>132.8</x:v>
      </x:c>
      <x:c r="F20" s="38" t="str">
        <x:v>是</x:v>
      </x:c>
      <x:c r="G20" s="38" t="str">
        <x:v>待核验</x:v>
      </x:c>
      <x:c r="H20" s="49" t="n">
        <x:v>3.5</x:v>
      </x:c>
      <x:c r="I20" s="49" t="n">
        <x:v>0.5</x:v>
      </x:c>
      <x:c r="J20" s="49" t="str">
        <x:v>待核验（可能设路桩、台阶）</x:v>
      </x:c>
      <x:c r="K20" s="49" t="n">
        <x:v>2.22</x:v>
      </x:c>
      <x:c r="L20" s="58" t="n">
        <x:f>IF(OR(E20="",K20="",K20=0),"n.a.",E20/K20)</x:f>
        <x:v>59.81981981981982</x:v>
      </x:c>
      <x:c r="M20" s="38" t="str">
        <x:v>06:00—23:00（推定）</x:v>
      </x:c>
      <x:c r="N20" s="59" t="n">
        <x:v>0.4</x:v>
      </x:c>
      <x:c r="O20" s="38" t="str">
        <x:v>OSM</x:v>
      </x:c>
      <x:c r="P20" s="38" t="str">
        <x:v>原始社区数据表</x:v>
      </x:c>
      <x:c r="Q20" s="2"/>
      <x:c r="R20" s="2"/>
      <x:c r="S20" s="2"/>
      <x:c r="T20" s="2"/>
      <x:c r="U20" s="2"/>
      <x:c r="V20" s="2"/>
    </x:row>
    <x:row r="21" ht="34" customHeight="1">
      <x:c r="A21" s="38" t="str">
        <x:v>C01-E016</x:v>
      </x:c>
      <x:c r="B21" s="38" t="str">
        <x:v>C01</x:v>
      </x:c>
      <x:c r="C21" s="38" t="str">
        <x:v>C01-R032</x:v>
      </x:c>
      <x:c r="D21" s="38" t="str">
        <x:v>C01-R033</x:v>
      </x:c>
      <x:c r="E21" s="55" t="n">
        <x:v>9.1</x:v>
      </x:c>
      <x:c r="F21" s="38" t="str">
        <x:v>是</x:v>
      </x:c>
      <x:c r="G21" s="38" t="str">
        <x:v>待核验</x:v>
      </x:c>
      <x:c r="H21" s="49" t="n">
        <x:v>3.5</x:v>
      </x:c>
      <x:c r="I21" s="49" t="n">
        <x:v>0.5</x:v>
      </x:c>
      <x:c r="J21" s="49" t="str">
        <x:v>待核验（可能设路桩、台阶）</x:v>
      </x:c>
      <x:c r="K21" s="49" t="n">
        <x:v>2.22</x:v>
      </x:c>
      <x:c r="L21" s="58" t="n">
        <x:f>IF(OR(E21="",K21="",K21=0),"n.a.",E21/K21)</x:f>
        <x:v>4.0990990990990985</x:v>
      </x:c>
      <x:c r="M21" s="38" t="str">
        <x:v>06:00—23:00（推定）</x:v>
      </x:c>
      <x:c r="N21" s="59" t="n">
        <x:v>0.4</x:v>
      </x:c>
      <x:c r="O21" s="38" t="str">
        <x:v>OSM</x:v>
      </x:c>
      <x:c r="P21" s="38" t="str">
        <x:v>原始社区数据表</x:v>
      </x:c>
      <x:c r="Q21" s="2"/>
      <x:c r="R21" s="2"/>
      <x:c r="S21" s="2"/>
      <x:c r="T21" s="2"/>
      <x:c r="U21" s="2"/>
      <x:c r="V21" s="2"/>
    </x:row>
    <x:row r="22" ht="34" customHeight="1">
      <x:c r="A22" s="38" t="str">
        <x:v>C01-E017</x:v>
      </x:c>
      <x:c r="B22" s="38" t="str">
        <x:v>C01</x:v>
      </x:c>
      <x:c r="C22" s="38" t="str">
        <x:v>C01-R033</x:v>
      </x:c>
      <x:c r="D22" s="38" t="str">
        <x:v>C01-R034</x:v>
      </x:c>
      <x:c r="E22" s="55" t="n">
        <x:v>8.2</x:v>
      </x:c>
      <x:c r="F22" s="38" t="str">
        <x:v>是</x:v>
      </x:c>
      <x:c r="G22" s="38" t="str">
        <x:v>待核验</x:v>
      </x:c>
      <x:c r="H22" s="49" t="n">
        <x:v>3.5</x:v>
      </x:c>
      <x:c r="I22" s="49" t="n">
        <x:v>0.5</x:v>
      </x:c>
      <x:c r="J22" s="49" t="str">
        <x:v>待核验（可能设路桩、台阶）</x:v>
      </x:c>
      <x:c r="K22" s="49" t="n">
        <x:v>2.22</x:v>
      </x:c>
      <x:c r="L22" s="58" t="n">
        <x:f>IF(OR(E22="",K22="",K22=0),"n.a.",E22/K22)</x:f>
        <x:v>3.6936936936936933</x:v>
      </x:c>
      <x:c r="M22" s="38" t="str">
        <x:v>06:00—23:00（推定）</x:v>
      </x:c>
      <x:c r="N22" s="59" t="n">
        <x:v>0.4</x:v>
      </x:c>
      <x:c r="O22" s="38" t="str">
        <x:v>OSM</x:v>
      </x:c>
      <x:c r="P22" s="38" t="str">
        <x:v>原始社区数据表</x:v>
      </x:c>
      <x:c r="Q22" s="2"/>
      <x:c r="R22" s="2"/>
      <x:c r="S22" s="2"/>
      <x:c r="T22" s="2"/>
      <x:c r="U22" s="2"/>
      <x:c r="V22" s="2"/>
    </x:row>
    <x:row r="23" ht="34" customHeight="1">
      <x:c r="A23" s="38" t="str">
        <x:v>C01-E018</x:v>
      </x:c>
      <x:c r="B23" s="38" t="str">
        <x:v>C01</x:v>
      </x:c>
      <x:c r="C23" s="38" t="str">
        <x:v>C01-R034</x:v>
      </x:c>
      <x:c r="D23" s="38" t="str">
        <x:v>C01-R036</x:v>
      </x:c>
      <x:c r="E23" s="55" t="n">
        <x:v>116.2</x:v>
      </x:c>
      <x:c r="F23" s="38" t="str">
        <x:v>是</x:v>
      </x:c>
      <x:c r="G23" s="38" t="str">
        <x:v>待核验</x:v>
      </x:c>
      <x:c r="H23" s="49" t="n">
        <x:v>3.5</x:v>
      </x:c>
      <x:c r="I23" s="49" t="n">
        <x:v>0.5</x:v>
      </x:c>
      <x:c r="J23" s="49" t="str">
        <x:v>待核验（可能设路桩、台阶）</x:v>
      </x:c>
      <x:c r="K23" s="49" t="n">
        <x:v>2.22</x:v>
      </x:c>
      <x:c r="L23" s="58" t="n">
        <x:f>IF(OR(E23="",K23="",K23=0),"n.a.",E23/K23)</x:f>
        <x:v>52.34234234234234</x:v>
      </x:c>
      <x:c r="M23" s="38" t="str">
        <x:v>06:00—23:00（推定）</x:v>
      </x:c>
      <x:c r="N23" s="59" t="n">
        <x:v>0.4</x:v>
      </x:c>
      <x:c r="O23" s="38" t="str">
        <x:v>OSM</x:v>
      </x:c>
      <x:c r="P23" s="38" t="str">
        <x:v>原始社区数据表</x:v>
      </x:c>
      <x:c r="Q23" s="2"/>
      <x:c r="R23" s="2"/>
      <x:c r="S23" s="2"/>
      <x:c r="T23" s="2"/>
      <x:c r="U23" s="2"/>
      <x:c r="V23" s="2"/>
    </x:row>
    <x:row r="24" ht="34" customHeight="1">
      <x:c r="A24" s="38" t="str">
        <x:v>C01-E019</x:v>
      </x:c>
      <x:c r="B24" s="38" t="str">
        <x:v>C01</x:v>
      </x:c>
      <x:c r="C24" s="38" t="str">
        <x:v>C01-R031</x:v>
      </x:c>
      <x:c r="D24" s="38" t="str">
        <x:v>C01-R027</x:v>
      </x:c>
      <x:c r="E24" s="55" t="n">
        <x:v>112.1</x:v>
      </x:c>
      <x:c r="F24" s="38" t="str">
        <x:v>是</x:v>
      </x:c>
      <x:c r="G24" s="38" t="str">
        <x:v>待核验</x:v>
      </x:c>
      <x:c r="H24" s="49" t="n">
        <x:v>3.5</x:v>
      </x:c>
      <x:c r="I24" s="49" t="n">
        <x:v>0.5</x:v>
      </x:c>
      <x:c r="J24" s="49" t="str">
        <x:v>待核验（可能设路桩、台阶）</x:v>
      </x:c>
      <x:c r="K24" s="49" t="n">
        <x:v>2.22</x:v>
      </x:c>
      <x:c r="L24" s="58" t="n">
        <x:f>IF(OR(E24="",K24="",K24=0),"n.a.",E24/K24)</x:f>
        <x:v>50.49549549549549</x:v>
      </x:c>
      <x:c r="M24" s="38" t="str">
        <x:v>06:00—23:00（推定）</x:v>
      </x:c>
      <x:c r="N24" s="59" t="n">
        <x:v>0.4</x:v>
      </x:c>
      <x:c r="O24" s="38" t="str">
        <x:v>OSM</x:v>
      </x:c>
      <x:c r="P24" s="38" t="str">
        <x:v>原始社区数据表</x:v>
      </x:c>
      <x:c r="Q24" s="2"/>
      <x:c r="R24" s="2"/>
      <x:c r="S24" s="2"/>
      <x:c r="T24" s="2"/>
      <x:c r="U24" s="2"/>
      <x:c r="V24" s="2"/>
    </x:row>
    <x:row r="25" ht="34" customHeight="1">
      <x:c r="A25" s="38" t="str">
        <x:v>C01-E020</x:v>
      </x:c>
      <x:c r="B25" s="38" t="str">
        <x:v>C01</x:v>
      </x:c>
      <x:c r="C25" s="38" t="str">
        <x:v>C01-R037</x:v>
      </x:c>
      <x:c r="D25" s="38" t="str">
        <x:v>C01-R038</x:v>
      </x:c>
      <x:c r="E25" s="55" t="n">
        <x:v>112.8</x:v>
      </x:c>
      <x:c r="F25" s="38" t="str">
        <x:v>是</x:v>
      </x:c>
      <x:c r="G25" s="38" t="str">
        <x:v>待核验</x:v>
      </x:c>
      <x:c r="H25" s="49" t="n">
        <x:v>3.5</x:v>
      </x:c>
      <x:c r="I25" s="49" t="n">
        <x:v>0.5</x:v>
      </x:c>
      <x:c r="J25" s="49" t="str">
        <x:v>待核验（可能设路桩、台阶）</x:v>
      </x:c>
      <x:c r="K25" s="49" t="n">
        <x:v>2.22</x:v>
      </x:c>
      <x:c r="L25" s="58" t="n">
        <x:f>IF(OR(E25="",K25="",K25=0),"n.a.",E25/K25)</x:f>
        <x:v>50.81081081081081</x:v>
      </x:c>
      <x:c r="M25" s="38" t="str">
        <x:v>06:00—23:00（推定）</x:v>
      </x:c>
      <x:c r="N25" s="59" t="n">
        <x:v>0.4</x:v>
      </x:c>
      <x:c r="O25" s="38" t="str">
        <x:v>OSM</x:v>
      </x:c>
      <x:c r="P25" s="38" t="str">
        <x:v>原始社区数据表</x:v>
      </x:c>
      <x:c r="Q25" s="2"/>
      <x:c r="R25" s="2"/>
      <x:c r="S25" s="2"/>
      <x:c r="T25" s="2"/>
      <x:c r="U25" s="2"/>
      <x:c r="V25" s="2"/>
    </x:row>
    <x:row r="26" ht="34" customHeight="1">
      <x:c r="A26" s="38" t="str">
        <x:v>C01-E021</x:v>
      </x:c>
      <x:c r="B26" s="38" t="str">
        <x:v>C01</x:v>
      </x:c>
      <x:c r="C26" s="38" t="str">
        <x:v>C01-R038</x:v>
      </x:c>
      <x:c r="D26" s="38" t="str">
        <x:v>C01-R031</x:v>
      </x:c>
      <x:c r="E26" s="55" t="n">
        <x:v>156.3</x:v>
      </x:c>
      <x:c r="F26" s="38" t="str">
        <x:v>是</x:v>
      </x:c>
      <x:c r="G26" s="38" t="str">
        <x:v>待核验</x:v>
      </x:c>
      <x:c r="H26" s="49" t="n">
        <x:v>3.5</x:v>
      </x:c>
      <x:c r="I26" s="49" t="n">
        <x:v>0.5</x:v>
      </x:c>
      <x:c r="J26" s="49" t="str">
        <x:v>待核验（可能设路桩、台阶）</x:v>
      </x:c>
      <x:c r="K26" s="49" t="n">
        <x:v>2.22</x:v>
      </x:c>
      <x:c r="L26" s="58" t="n">
        <x:f>IF(OR(E26="",K26="",K26=0),"n.a.",E26/K26)</x:f>
        <x:v>70.4054054054054</x:v>
      </x:c>
      <x:c r="M26" s="38" t="str">
        <x:v>06:00—23:00（推定）</x:v>
      </x:c>
      <x:c r="N26" s="59" t="n">
        <x:v>0.4</x:v>
      </x:c>
      <x:c r="O26" s="38" t="str">
        <x:v>OSM</x:v>
      </x:c>
      <x:c r="P26" s="38" t="str">
        <x:v>原始社区数据表</x:v>
      </x:c>
      <x:c r="Q26" s="2"/>
      <x:c r="R26" s="2"/>
      <x:c r="S26" s="2"/>
      <x:c r="T26" s="2"/>
      <x:c r="U26" s="2"/>
      <x:c r="V26" s="2"/>
    </x:row>
    <x:row r="27" ht="34" customHeight="1">
      <x:c r="A27" s="38" t="str">
        <x:v>C01-E022</x:v>
      </x:c>
      <x:c r="B27" s="38" t="str">
        <x:v>C01</x:v>
      </x:c>
      <x:c r="C27" s="38" t="str">
        <x:v>C01-R031</x:v>
      </x:c>
      <x:c r="D27" s="38" t="str">
        <x:v>C01-R030</x:v>
      </x:c>
      <x:c r="E27" s="55" t="n">
        <x:v>5.9</x:v>
      </x:c>
      <x:c r="F27" s="38" t="str">
        <x:v>是</x:v>
      </x:c>
      <x:c r="G27" s="38" t="str">
        <x:v>待核验</x:v>
      </x:c>
      <x:c r="H27" s="49" t="n">
        <x:v>3.5</x:v>
      </x:c>
      <x:c r="I27" s="49" t="n">
        <x:v>0.5</x:v>
      </x:c>
      <x:c r="J27" s="49" t="str">
        <x:v>待核验（可能设路桩、台阶）</x:v>
      </x:c>
      <x:c r="K27" s="49" t="n">
        <x:v>2.22</x:v>
      </x:c>
      <x:c r="L27" s="58" t="n">
        <x:f>IF(OR(E27="",K27="",K27=0),"n.a.",E27/K27)</x:f>
        <x:v>2.6576576576576576</x:v>
      </x:c>
      <x:c r="M27" s="38" t="str">
        <x:v>06:00—23:00（推定）</x:v>
      </x:c>
      <x:c r="N27" s="59" t="n">
        <x:v>0.4</x:v>
      </x:c>
      <x:c r="O27" s="38" t="str">
        <x:v>OSM</x:v>
      </x:c>
      <x:c r="P27" s="38" t="str">
        <x:v>原始社区数据表</x:v>
      </x:c>
      <x:c r="Q27" s="2"/>
      <x:c r="R27" s="2"/>
      <x:c r="S27" s="2"/>
      <x:c r="T27" s="2"/>
      <x:c r="U27" s="2"/>
      <x:c r="V27" s="2"/>
    </x:row>
    <x:row r="28" ht="34" customHeight="1">
      <x:c r="A28" s="38" t="str">
        <x:v>C01-E023</x:v>
      </x:c>
      <x:c r="B28" s="38" t="str">
        <x:v>C01</x:v>
      </x:c>
      <x:c r="C28" s="38" t="str">
        <x:v>C01-R030</x:v>
      </x:c>
      <x:c r="D28" s="38" t="str">
        <x:v>C01-R029</x:v>
      </x:c>
      <x:c r="E28" s="55" t="n">
        <x:v>11.7</x:v>
      </x:c>
      <x:c r="F28" s="38" t="str">
        <x:v>是</x:v>
      </x:c>
      <x:c r="G28" s="38" t="str">
        <x:v>待核验</x:v>
      </x:c>
      <x:c r="H28" s="49" t="n">
        <x:v>3.5</x:v>
      </x:c>
      <x:c r="I28" s="49" t="n">
        <x:v>0.5</x:v>
      </x:c>
      <x:c r="J28" s="49" t="str">
        <x:v>待核验（可能设路桩、台阶）</x:v>
      </x:c>
      <x:c r="K28" s="49" t="n">
        <x:v>2.22</x:v>
      </x:c>
      <x:c r="L28" s="58" t="n">
        <x:f>IF(OR(E28="",K28="",K28=0),"n.a.",E28/K28)</x:f>
        <x:v>5.270270270270269</x:v>
      </x:c>
      <x:c r="M28" s="38" t="str">
        <x:v>06:00—23:00（推定）</x:v>
      </x:c>
      <x:c r="N28" s="59" t="n">
        <x:v>0.4</x:v>
      </x:c>
      <x:c r="O28" s="38" t="str">
        <x:v>OSM</x:v>
      </x:c>
      <x:c r="P28" s="38" t="str">
        <x:v>原始社区数据表</x:v>
      </x:c>
      <x:c r="Q28" s="2"/>
      <x:c r="R28" s="2"/>
      <x:c r="S28" s="2"/>
      <x:c r="T28" s="2"/>
      <x:c r="U28" s="2"/>
      <x:c r="V28" s="2"/>
    </x:row>
    <x:row r="29" ht="34" customHeight="1">
      <x:c r="A29" s="38" t="str">
        <x:v>C01-E024</x:v>
      </x:c>
      <x:c r="B29" s="38" t="str">
        <x:v>C01</x:v>
      </x:c>
      <x:c r="C29" s="38" t="str">
        <x:v>C01-R029</x:v>
      </x:c>
      <x:c r="D29" s="38" t="str">
        <x:v>C01-R023</x:v>
      </x:c>
      <x:c r="E29" s="55" t="n">
        <x:v>98.8</x:v>
      </x:c>
      <x:c r="F29" s="38" t="str">
        <x:v>是</x:v>
      </x:c>
      <x:c r="G29" s="38" t="str">
        <x:v>待核验</x:v>
      </x:c>
      <x:c r="H29" s="49" t="n">
        <x:v>3.5</x:v>
      </x:c>
      <x:c r="I29" s="49" t="n">
        <x:v>0.5</x:v>
      </x:c>
      <x:c r="J29" s="49" t="str">
        <x:v>待核验（可能设路桩、台阶）</x:v>
      </x:c>
      <x:c r="K29" s="49" t="n">
        <x:v>2.22</x:v>
      </x:c>
      <x:c r="L29" s="58" t="n">
        <x:f>IF(OR(E29="",K29="",K29=0),"n.a.",E29/K29)</x:f>
        <x:v>44.504504504504496</x:v>
      </x:c>
      <x:c r="M29" s="38" t="str">
        <x:v>06:00—23:00（推定）</x:v>
      </x:c>
      <x:c r="N29" s="59" t="n">
        <x:v>0.4</x:v>
      </x:c>
      <x:c r="O29" s="38" t="str">
        <x:v>OSM</x:v>
      </x:c>
      <x:c r="P29" s="38" t="str">
        <x:v>原始社区数据表</x:v>
      </x:c>
      <x:c r="Q29" s="2"/>
      <x:c r="R29" s="2"/>
      <x:c r="S29" s="2"/>
      <x:c r="T29" s="2"/>
      <x:c r="U29" s="2"/>
      <x:c r="V29" s="2"/>
    </x:row>
    <x:row r="30" ht="34" customHeight="1">
      <x:c r="A30" s="38" t="str">
        <x:v>C01-E025</x:v>
      </x:c>
      <x:c r="B30" s="38" t="str">
        <x:v>C01</x:v>
      </x:c>
      <x:c r="C30" s="38" t="str">
        <x:v>C01-R014</x:v>
      </x:c>
      <x:c r="D30" s="38" t="str">
        <x:v>C01-R008</x:v>
      </x:c>
      <x:c r="E30" s="55" t="n">
        <x:v>90.9</x:v>
      </x:c>
      <x:c r="F30" s="38" t="str">
        <x:v>否</x:v>
      </x:c>
      <x:c r="G30" s="38" t="str">
        <x:v>是</x:v>
      </x:c>
      <x:c r="H30" s="49" t="n">
        <x:v>7.5</x:v>
      </x:c>
      <x:c r="I30" s="49" t="n">
        <x:v>0.3</x:v>
      </x:c>
      <x:c r="J30" s="49" t="str">
        <x:v>无（缘石高差，路侧停车待核）</x:v>
      </x:c>
      <x:c r="K30" s="49" t="n">
        <x:v>3.33</x:v>
      </x:c>
      <x:c r="L30" s="58" t="n">
        <x:f>IF(OR(E30="",K30="",K30=0),"n.a.",E30/K30)</x:f>
        <x:v>27.2972972972973</x:v>
      </x:c>
      <x:c r="M30" s="38"/>
      <x:c r="N30" s="59" t="n">
        <x:v>0.3</x:v>
      </x:c>
      <x:c r="O30" s="38" t="str">
        <x:v>OSM</x:v>
      </x:c>
      <x:c r="P30" s="38" t="str">
        <x:v>原始社区数据表</x:v>
      </x:c>
      <x:c r="Q30" s="2"/>
      <x:c r="R30" s="2"/>
      <x:c r="S30" s="2"/>
      <x:c r="T30" s="2"/>
      <x:c r="U30" s="2"/>
      <x:c r="V30" s="2"/>
    </x:row>
    <x:row r="31" ht="34" customHeight="1">
      <x:c r="A31" s="38" t="str">
        <x:v>C01-E026</x:v>
      </x:c>
      <x:c r="B31" s="38" t="str">
        <x:v>C01</x:v>
      </x:c>
      <x:c r="C31" s="38" t="str">
        <x:v>C01-R008</x:v>
      </x:c>
      <x:c r="D31" s="38" t="str">
        <x:v>C01-R004</x:v>
      </x:c>
      <x:c r="E31" s="55" t="n">
        <x:v>68.7</x:v>
      </x:c>
      <x:c r="F31" s="38" t="str">
        <x:v>否</x:v>
      </x:c>
      <x:c r="G31" s="38" t="str">
        <x:v>是</x:v>
      </x:c>
      <x:c r="H31" s="49" t="n">
        <x:v>7.5</x:v>
      </x:c>
      <x:c r="I31" s="49" t="n">
        <x:v>0.3</x:v>
      </x:c>
      <x:c r="J31" s="49" t="str">
        <x:v>无（缘石高差，路侧停车待核）</x:v>
      </x:c>
      <x:c r="K31" s="49" t="n">
        <x:v>3.33</x:v>
      </x:c>
      <x:c r="L31" s="58" t="n">
        <x:f>IF(OR(E31="",K31="",K31=0),"n.a.",E31/K31)</x:f>
        <x:v>20.63063063063063</x:v>
      </x:c>
      <x:c r="M31" s="38"/>
      <x:c r="N31" s="59" t="n">
        <x:v>0.3</x:v>
      </x:c>
      <x:c r="O31" s="38" t="str">
        <x:v>OSM</x:v>
      </x:c>
      <x:c r="P31" s="38" t="str">
        <x:v>原始社区数据表</x:v>
      </x:c>
      <x:c r="Q31" s="2"/>
      <x:c r="R31" s="2"/>
      <x:c r="S31" s="2"/>
      <x:c r="T31" s="2"/>
      <x:c r="U31" s="2"/>
      <x:c r="V31" s="2"/>
    </x:row>
    <x:row r="32" ht="34" customHeight="1">
      <x:c r="A32" s="38" t="str">
        <x:v>C01-E027</x:v>
      </x:c>
      <x:c r="B32" s="38" t="str">
        <x:v>C01</x:v>
      </x:c>
      <x:c r="C32" s="38" t="str">
        <x:v>C01-R026</x:v>
      </x:c>
      <x:c r="D32" s="38" t="str">
        <x:v>C01-R024</x:v>
      </x:c>
      <x:c r="E32" s="55" t="n">
        <x:v>112</x:v>
      </x:c>
      <x:c r="F32" s="38" t="str">
        <x:v>否</x:v>
      </x:c>
      <x:c r="G32" s="38" t="str">
        <x:v>是</x:v>
      </x:c>
      <x:c r="H32" s="49" t="n">
        <x:v>7.5</x:v>
      </x:c>
      <x:c r="I32" s="49" t="n">
        <x:v>0.3</x:v>
      </x:c>
      <x:c r="J32" s="49" t="str">
        <x:v>无（缘石高差，路侧停车待核）</x:v>
      </x:c>
      <x:c r="K32" s="49" t="n">
        <x:v>3.33</x:v>
      </x:c>
      <x:c r="L32" s="58" t="n">
        <x:f>IF(OR(E32="",K32="",K32=0),"n.a.",E32/K32)</x:f>
        <x:v>33.633633633633636</x:v>
      </x:c>
      <x:c r="M32" s="38"/>
      <x:c r="N32" s="59" t="n">
        <x:v>0.3</x:v>
      </x:c>
      <x:c r="O32" s="38" t="str">
        <x:v>OSM</x:v>
      </x:c>
      <x:c r="P32" s="38" t="str">
        <x:v>原始社区数据表</x:v>
      </x:c>
      <x:c r="Q32" s="2"/>
      <x:c r="R32" s="2"/>
      <x:c r="S32" s="2"/>
      <x:c r="T32" s="2"/>
      <x:c r="U32" s="2"/>
      <x:c r="V32" s="2"/>
    </x:row>
    <x:row r="33" ht="34" customHeight="1">
      <x:c r="A33" s="38" t="str">
        <x:v>C01-E028</x:v>
      </x:c>
      <x:c r="B33" s="38" t="str">
        <x:v>C01</x:v>
      </x:c>
      <x:c r="C33" s="38" t="str">
        <x:v>C01-R024</x:v>
      </x:c>
      <x:c r="D33" s="38" t="str">
        <x:v>C01-R023</x:v>
      </x:c>
      <x:c r="E33" s="55" t="n">
        <x:v>82.4</x:v>
      </x:c>
      <x:c r="F33" s="38" t="str">
        <x:v>否</x:v>
      </x:c>
      <x:c r="G33" s="38" t="str">
        <x:v>是</x:v>
      </x:c>
      <x:c r="H33" s="49" t="n">
        <x:v>7.5</x:v>
      </x:c>
      <x:c r="I33" s="49" t="n">
        <x:v>0.3</x:v>
      </x:c>
      <x:c r="J33" s="49" t="str">
        <x:v>无（缘石高差，路侧停车待核）</x:v>
      </x:c>
      <x:c r="K33" s="49" t="n">
        <x:v>3.33</x:v>
      </x:c>
      <x:c r="L33" s="58" t="n">
        <x:f>IF(OR(E33="",K33="",K33=0),"n.a.",E33/K33)</x:f>
        <x:v>24.744744744744747</x:v>
      </x:c>
      <x:c r="M33" s="38"/>
      <x:c r="N33" s="59" t="n">
        <x:v>0.3</x:v>
      </x:c>
      <x:c r="O33" s="38" t="str">
        <x:v>OSM</x:v>
      </x:c>
      <x:c r="P33" s="38" t="str">
        <x:v>原始社区数据表</x:v>
      </x:c>
      <x:c r="Q33" s="2"/>
      <x:c r="R33" s="2"/>
      <x:c r="S33" s="2"/>
      <x:c r="T33" s="2"/>
      <x:c r="U33" s="2"/>
      <x:c r="V33" s="2"/>
    </x:row>
    <x:row r="34" ht="34" customHeight="1">
      <x:c r="A34" s="38" t="str">
        <x:v>C01-E029</x:v>
      </x:c>
      <x:c r="B34" s="38" t="str">
        <x:v>C01</x:v>
      </x:c>
      <x:c r="C34" s="38" t="str">
        <x:v>C01-R023</x:v>
      </x:c>
      <x:c r="D34" s="38" t="str">
        <x:v>C01-R021</x:v>
      </x:c>
      <x:c r="E34" s="55" t="n">
        <x:v>39.7</x:v>
      </x:c>
      <x:c r="F34" s="38" t="str">
        <x:v>否</x:v>
      </x:c>
      <x:c r="G34" s="38" t="str">
        <x:v>是</x:v>
      </x:c>
      <x:c r="H34" s="49" t="n">
        <x:v>7.5</x:v>
      </x:c>
      <x:c r="I34" s="49" t="n">
        <x:v>0.3</x:v>
      </x:c>
      <x:c r="J34" s="49" t="str">
        <x:v>无（缘石高差，路侧停车待核）</x:v>
      </x:c>
      <x:c r="K34" s="49" t="n">
        <x:v>3.33</x:v>
      </x:c>
      <x:c r="L34" s="58" t="n">
        <x:f>IF(OR(E34="",K34="",K34=0),"n.a.",E34/K34)</x:f>
        <x:v>11.921921921921923</x:v>
      </x:c>
      <x:c r="M34" s="38"/>
      <x:c r="N34" s="59" t="n">
        <x:v>0.3</x:v>
      </x:c>
      <x:c r="O34" s="38" t="str">
        <x:v>OSM</x:v>
      </x:c>
      <x:c r="P34" s="38" t="str">
        <x:v>原始社区数据表</x:v>
      </x:c>
      <x:c r="Q34" s="2"/>
      <x:c r="R34" s="2"/>
      <x:c r="S34" s="2"/>
      <x:c r="T34" s="2"/>
      <x:c r="U34" s="2"/>
      <x:c r="V34" s="2"/>
    </x:row>
    <x:row r="35" ht="34" customHeight="1">
      <x:c r="A35" s="38" t="str">
        <x:v>C01-E030</x:v>
      </x:c>
      <x:c r="B35" s="38" t="str">
        <x:v>C01</x:v>
      </x:c>
      <x:c r="C35" s="38" t="str">
        <x:v>C01-R021</x:v>
      </x:c>
      <x:c r="D35" s="38" t="str">
        <x:v>C01-R020</x:v>
      </x:c>
      <x:c r="E35" s="55" t="n">
        <x:v>19.5</x:v>
      </x:c>
      <x:c r="F35" s="38" t="str">
        <x:v>否</x:v>
      </x:c>
      <x:c r="G35" s="38" t="str">
        <x:v>是</x:v>
      </x:c>
      <x:c r="H35" s="49" t="n">
        <x:v>7.5</x:v>
      </x:c>
      <x:c r="I35" s="49" t="n">
        <x:v>0.3</x:v>
      </x:c>
      <x:c r="J35" s="49" t="str">
        <x:v>无（缘石高差，路侧停车待核）</x:v>
      </x:c>
      <x:c r="K35" s="49" t="n">
        <x:v>3.33</x:v>
      </x:c>
      <x:c r="L35" s="58" t="n">
        <x:f>IF(OR(E35="",K35="",K35=0),"n.a.",E35/K35)</x:f>
        <x:v>5.8558558558558556</x:v>
      </x:c>
      <x:c r="M35" s="38"/>
      <x:c r="N35" s="59" t="n">
        <x:v>0.3</x:v>
      </x:c>
      <x:c r="O35" s="38" t="str">
        <x:v>OSM</x:v>
      </x:c>
      <x:c r="P35" s="38" t="str">
        <x:v>原始社区数据表</x:v>
      </x:c>
      <x:c r="Q35" s="2"/>
      <x:c r="R35" s="2"/>
      <x:c r="S35" s="2"/>
      <x:c r="T35" s="2"/>
      <x:c r="U35" s="2"/>
      <x:c r="V35" s="2"/>
    </x:row>
    <x:row r="36" ht="34" customHeight="1">
      <x:c r="A36" s="38" t="str">
        <x:v>C01-E031</x:v>
      </x:c>
      <x:c r="B36" s="38" t="str">
        <x:v>C01</x:v>
      </x:c>
      <x:c r="C36" s="38" t="str">
        <x:v>C01-R020</x:v>
      </x:c>
      <x:c r="D36" s="38" t="str">
        <x:v>C01-R019</x:v>
      </x:c>
      <x:c r="E36" s="55" t="n">
        <x:v>17</x:v>
      </x:c>
      <x:c r="F36" s="38" t="str">
        <x:v>否</x:v>
      </x:c>
      <x:c r="G36" s="38" t="str">
        <x:v>是</x:v>
      </x:c>
      <x:c r="H36" s="49" t="n">
        <x:v>7.5</x:v>
      </x:c>
      <x:c r="I36" s="49" t="n">
        <x:v>0.3</x:v>
      </x:c>
      <x:c r="J36" s="49" t="str">
        <x:v>无（缘石高差，路侧停车待核）</x:v>
      </x:c>
      <x:c r="K36" s="49" t="n">
        <x:v>3.33</x:v>
      </x:c>
      <x:c r="L36" s="58" t="n">
        <x:f>IF(OR(E36="",K36="",K36=0),"n.a.",E36/K36)</x:f>
        <x:v>5.105105105105105</x:v>
      </x:c>
      <x:c r="M36" s="38"/>
      <x:c r="N36" s="59" t="n">
        <x:v>0.3</x:v>
      </x:c>
      <x:c r="O36" s="38" t="str">
        <x:v>OSM</x:v>
      </x:c>
      <x:c r="P36" s="38" t="str">
        <x:v>原始社区数据表</x:v>
      </x:c>
      <x:c r="Q36" s="2"/>
      <x:c r="R36" s="2"/>
      <x:c r="S36" s="2"/>
      <x:c r="T36" s="2"/>
      <x:c r="U36" s="2"/>
      <x:c r="V36" s="2"/>
    </x:row>
    <x:row r="37" ht="34" customHeight="1">
      <x:c r="A37" s="38" t="str">
        <x:v>C01-E032</x:v>
      </x:c>
      <x:c r="B37" s="38" t="str">
        <x:v>C01</x:v>
      </x:c>
      <x:c r="C37" s="38" t="str">
        <x:v>C01-R019</x:v>
      </x:c>
      <x:c r="D37" s="38" t="str">
        <x:v>C01-R017</x:v>
      </x:c>
      <x:c r="E37" s="55" t="n">
        <x:v>12.1</x:v>
      </x:c>
      <x:c r="F37" s="38" t="str">
        <x:v>否</x:v>
      </x:c>
      <x:c r="G37" s="38" t="str">
        <x:v>是</x:v>
      </x:c>
      <x:c r="H37" s="49" t="n">
        <x:v>7.5</x:v>
      </x:c>
      <x:c r="I37" s="49" t="n">
        <x:v>0.3</x:v>
      </x:c>
      <x:c r="J37" s="49" t="str">
        <x:v>无（缘石高差，路侧停车待核）</x:v>
      </x:c>
      <x:c r="K37" s="49" t="n">
        <x:v>3.33</x:v>
      </x:c>
      <x:c r="L37" s="58" t="n">
        <x:f>IF(OR(E37="",K37="",K37=0),"n.a.",E37/K37)</x:f>
        <x:v>3.6336336336336332</x:v>
      </x:c>
      <x:c r="M37" s="38"/>
      <x:c r="N37" s="59" t="n">
        <x:v>0.3</x:v>
      </x:c>
      <x:c r="O37" s="38" t="str">
        <x:v>OSM</x:v>
      </x:c>
      <x:c r="P37" s="38" t="str">
        <x:v>原始社区数据表</x:v>
      </x:c>
      <x:c r="Q37" s="2"/>
      <x:c r="R37" s="2"/>
      <x:c r="S37" s="2"/>
      <x:c r="T37" s="2"/>
      <x:c r="U37" s="2"/>
      <x:c r="V37" s="2"/>
    </x:row>
    <x:row r="38" ht="34" customHeight="1">
      <x:c r="A38" s="38" t="str">
        <x:v>C01-E033</x:v>
      </x:c>
      <x:c r="B38" s="38" t="str">
        <x:v>C01</x:v>
      </x:c>
      <x:c r="C38" s="38" t="str">
        <x:v>C01-R040</x:v>
      </x:c>
      <x:c r="D38" s="38" t="str">
        <x:v>C01-R041</x:v>
      </x:c>
      <x:c r="E38" s="55" t="n">
        <x:v>17.1</x:v>
      </x:c>
      <x:c r="F38" s="38" t="str">
        <x:v>是</x:v>
      </x:c>
      <x:c r="G38" s="38" t="str">
        <x:v>否</x:v>
      </x:c>
      <x:c r="H38" s="49" t="n">
        <x:v>3</x:v>
      </x:c>
      <x:c r="I38" s="49" t="n">
        <x:v>0.5</x:v>
      </x:c>
      <x:c r="J38" s="49" t="str">
        <x:v>路面未硬化（待核验）</x:v>
      </x:c>
      <x:c r="K38" s="49" t="n">
        <x:v>1.5</x:v>
      </x:c>
      <x:c r="L38" s="58" t="n">
        <x:f>IF(OR(E38="",K38="",K38=0),"n.a.",E38/K38)</x:f>
        <x:v>11.4</x:v>
      </x:c>
      <x:c r="M38" s="38" t="str">
        <x:v>06:00—23:00（推定）</x:v>
      </x:c>
      <x:c r="N38" s="59" t="n">
        <x:v>0.45</x:v>
      </x:c>
      <x:c r="O38" s="38" t="str">
        <x:v>OSM</x:v>
      </x:c>
      <x:c r="P38" s="38" t="str">
        <x:v>原始社区数据表</x:v>
      </x:c>
      <x:c r="Q38" s="2"/>
      <x:c r="R38" s="2"/>
      <x:c r="S38" s="2"/>
      <x:c r="T38" s="2"/>
      <x:c r="U38" s="2"/>
      <x:c r="V38" s="2"/>
    </x:row>
    <x:row r="39" ht="34" customHeight="1">
      <x:c r="A39" s="38" t="str">
        <x:v>C01-E034</x:v>
      </x:c>
      <x:c r="B39" s="38" t="str">
        <x:v>C01</x:v>
      </x:c>
      <x:c r="C39" s="38" t="str">
        <x:v>C01-R041</x:v>
      </x:c>
      <x:c r="D39" s="38" t="str">
        <x:v>C01-R039</x:v>
      </x:c>
      <x:c r="E39" s="55" t="n">
        <x:v>33.5</x:v>
      </x:c>
      <x:c r="F39" s="38" t="str">
        <x:v>是</x:v>
      </x:c>
      <x:c r="G39" s="38" t="str">
        <x:v>否</x:v>
      </x:c>
      <x:c r="H39" s="49" t="n">
        <x:v>3</x:v>
      </x:c>
      <x:c r="I39" s="49" t="n">
        <x:v>0.5</x:v>
      </x:c>
      <x:c r="J39" s="49" t="str">
        <x:v>路面未硬化（待核验）</x:v>
      </x:c>
      <x:c r="K39" s="49" t="n">
        <x:v>1.5</x:v>
      </x:c>
      <x:c r="L39" s="58" t="n">
        <x:f>IF(OR(E39="",K39="",K39=0),"n.a.",E39/K39)</x:f>
        <x:v>22.333333333333332</x:v>
      </x:c>
      <x:c r="M39" s="38" t="str">
        <x:v>06:00—23:00（推定）</x:v>
      </x:c>
      <x:c r="N39" s="59" t="n">
        <x:v>0.45</x:v>
      </x:c>
      <x:c r="O39" s="38" t="str">
        <x:v>OSM</x:v>
      </x:c>
      <x:c r="P39" s="38" t="str">
        <x:v>原始社区数据表</x:v>
      </x:c>
      <x:c r="Q39" s="2"/>
      <x:c r="R39" s="2"/>
      <x:c r="S39" s="2"/>
      <x:c r="T39" s="2"/>
      <x:c r="U39" s="2"/>
      <x:c r="V39" s="2"/>
    </x:row>
    <x:row r="40" ht="34" customHeight="1">
      <x:c r="A40" s="38" t="str">
        <x:v>C01-E035</x:v>
      </x:c>
      <x:c r="B40" s="38" t="str">
        <x:v>C01</x:v>
      </x:c>
      <x:c r="C40" s="38" t="str">
        <x:v>C01-R039</x:v>
      </x:c>
      <x:c r="D40" s="38" t="str">
        <x:v>C01-R042</x:v>
      </x:c>
      <x:c r="E40" s="55" t="n">
        <x:v>81.6</x:v>
      </x:c>
      <x:c r="F40" s="38" t="str">
        <x:v>是</x:v>
      </x:c>
      <x:c r="G40" s="38" t="str">
        <x:v>否</x:v>
      </x:c>
      <x:c r="H40" s="49" t="n">
        <x:v>3</x:v>
      </x:c>
      <x:c r="I40" s="49" t="n">
        <x:v>0.5</x:v>
      </x:c>
      <x:c r="J40" s="49" t="str">
        <x:v>路面未硬化（待核验）</x:v>
      </x:c>
      <x:c r="K40" s="49" t="n">
        <x:v>1.5</x:v>
      </x:c>
      <x:c r="L40" s="58" t="n">
        <x:f>IF(OR(E40="",K40="",K40=0),"n.a.",E40/K40)</x:f>
        <x:v>54.4</x:v>
      </x:c>
      <x:c r="M40" s="38" t="str">
        <x:v>06:00—23:00（推定）</x:v>
      </x:c>
      <x:c r="N40" s="59" t="n">
        <x:v>0.45</x:v>
      </x:c>
      <x:c r="O40" s="38" t="str">
        <x:v>OSM</x:v>
      </x:c>
      <x:c r="P40" s="38" t="str">
        <x:v>原始社区数据表</x:v>
      </x:c>
      <x:c r="Q40" s="2"/>
      <x:c r="R40" s="2"/>
      <x:c r="S40" s="2"/>
      <x:c r="T40" s="2"/>
      <x:c r="U40" s="2"/>
      <x:c r="V40" s="2"/>
    </x:row>
    <x:row r="41" ht="34" customHeight="1">
      <x:c r="A41" s="38" t="str">
        <x:v>C01-E036</x:v>
      </x:c>
      <x:c r="B41" s="38" t="str">
        <x:v>C01</x:v>
      </x:c>
      <x:c r="C41" s="38" t="str">
        <x:v>C01-R042</x:v>
      </x:c>
      <x:c r="D41" s="38" t="str">
        <x:v>C01-R043</x:v>
      </x:c>
      <x:c r="E41" s="55" t="n">
        <x:v>20.2</x:v>
      </x:c>
      <x:c r="F41" s="38" t="str">
        <x:v>是</x:v>
      </x:c>
      <x:c r="G41" s="38" t="str">
        <x:v>否</x:v>
      </x:c>
      <x:c r="H41" s="49" t="n">
        <x:v>3</x:v>
      </x:c>
      <x:c r="I41" s="49" t="n">
        <x:v>0.5</x:v>
      </x:c>
      <x:c r="J41" s="49" t="str">
        <x:v>路面未硬化（待核验）</x:v>
      </x:c>
      <x:c r="K41" s="49" t="n">
        <x:v>1.5</x:v>
      </x:c>
      <x:c r="L41" s="58" t="n">
        <x:f>IF(OR(E41="",K41="",K41=0),"n.a.",E41/K41)</x:f>
        <x:v>13.466666666666667</x:v>
      </x:c>
      <x:c r="M41" s="38" t="str">
        <x:v>06:00—23:00（推定）</x:v>
      </x:c>
      <x:c r="N41" s="59" t="n">
        <x:v>0.45</x:v>
      </x:c>
      <x:c r="O41" s="38" t="str">
        <x:v>OSM</x:v>
      </x:c>
      <x:c r="P41" s="38" t="str">
        <x:v>原始社区数据表</x:v>
      </x:c>
      <x:c r="Q41" s="2"/>
      <x:c r="R41" s="2"/>
      <x:c r="S41" s="2"/>
      <x:c r="T41" s="2"/>
      <x:c r="U41" s="2"/>
      <x:c r="V41" s="2"/>
    </x:row>
    <x:row r="42" ht="34" customHeight="1">
      <x:c r="A42" s="38" t="str">
        <x:v>C01-E037</x:v>
      </x:c>
      <x:c r="B42" s="38" t="str">
        <x:v>C01</x:v>
      </x:c>
      <x:c r="C42" s="38" t="str">
        <x:v>C01-R043</x:v>
      </x:c>
      <x:c r="D42" s="38" t="str">
        <x:v>C01-R044</x:v>
      </x:c>
      <x:c r="E42" s="55" t="n">
        <x:v>52.1</x:v>
      </x:c>
      <x:c r="F42" s="38" t="str">
        <x:v>是</x:v>
      </x:c>
      <x:c r="G42" s="38" t="str">
        <x:v>否</x:v>
      </x:c>
      <x:c r="H42" s="49" t="n">
        <x:v>3</x:v>
      </x:c>
      <x:c r="I42" s="49" t="n">
        <x:v>0.5</x:v>
      </x:c>
      <x:c r="J42" s="49" t="str">
        <x:v>路面未硬化（待核验）</x:v>
      </x:c>
      <x:c r="K42" s="49" t="n">
        <x:v>1.5</x:v>
      </x:c>
      <x:c r="L42" s="58" t="n">
        <x:f>IF(OR(E42="",K42="",K42=0),"n.a.",E42/K42)</x:f>
        <x:v>34.733333333333334</x:v>
      </x:c>
      <x:c r="M42" s="38" t="str">
        <x:v>06:00—23:00（推定）</x:v>
      </x:c>
      <x:c r="N42" s="59" t="n">
        <x:v>0.45</x:v>
      </x:c>
      <x:c r="O42" s="38" t="str">
        <x:v>OSM</x:v>
      </x:c>
      <x:c r="P42" s="38" t="str">
        <x:v>原始社区数据表</x:v>
      </x:c>
      <x:c r="Q42" s="2"/>
      <x:c r="R42" s="2"/>
      <x:c r="S42" s="2"/>
      <x:c r="T42" s="2"/>
      <x:c r="U42" s="2"/>
      <x:c r="V42" s="2"/>
    </x:row>
    <x:row r="43" ht="34" customHeight="1">
      <x:c r="A43" s="38" t="str">
        <x:v>C01-E038</x:v>
      </x:c>
      <x:c r="B43" s="38" t="str">
        <x:v>C01</x:v>
      </x:c>
      <x:c r="C43" s="38" t="str">
        <x:v>C01-R044</x:v>
      </x:c>
      <x:c r="D43" s="38" t="str">
        <x:v>C01-R046</x:v>
      </x:c>
      <x:c r="E43" s="55" t="n">
        <x:v>67.7</x:v>
      </x:c>
      <x:c r="F43" s="38" t="str">
        <x:v>是</x:v>
      </x:c>
      <x:c r="G43" s="38" t="str">
        <x:v>否</x:v>
      </x:c>
      <x:c r="H43" s="49" t="n">
        <x:v>3</x:v>
      </x:c>
      <x:c r="I43" s="49" t="n">
        <x:v>0.5</x:v>
      </x:c>
      <x:c r="J43" s="49" t="str">
        <x:v>路面未硬化（待核验）</x:v>
      </x:c>
      <x:c r="K43" s="49" t="n">
        <x:v>1.5</x:v>
      </x:c>
      <x:c r="L43" s="58" t="n">
        <x:f>IF(OR(E43="",K43="",K43=0),"n.a.",E43/K43)</x:f>
        <x:v>45.13333333333333</x:v>
      </x:c>
      <x:c r="M43" s="38" t="str">
        <x:v>06:00—23:00（推定）</x:v>
      </x:c>
      <x:c r="N43" s="59" t="n">
        <x:v>0.45</x:v>
      </x:c>
      <x:c r="O43" s="38" t="str">
        <x:v>OSM</x:v>
      </x:c>
      <x:c r="P43" s="38" t="str">
        <x:v>原始社区数据表</x:v>
      </x:c>
      <x:c r="Q43" s="2"/>
      <x:c r="R43" s="2"/>
      <x:c r="S43" s="2"/>
      <x:c r="T43" s="2"/>
      <x:c r="U43" s="2"/>
      <x:c r="V43" s="2"/>
    </x:row>
    <x:row r="44" ht="34" customHeight="1">
      <x:c r="A44" s="38" t="str">
        <x:v>C01-E039</x:v>
      </x:c>
      <x:c r="B44" s="38" t="str">
        <x:v>C01</x:v>
      </x:c>
      <x:c r="C44" s="38" t="str">
        <x:v>C01-R046</x:v>
      </x:c>
      <x:c r="D44" s="38" t="str">
        <x:v>C01-R047</x:v>
      </x:c>
      <x:c r="E44" s="55" t="n">
        <x:v>88.2</x:v>
      </x:c>
      <x:c r="F44" s="38" t="str">
        <x:v>是</x:v>
      </x:c>
      <x:c r="G44" s="38" t="str">
        <x:v>否</x:v>
      </x:c>
      <x:c r="H44" s="49" t="n">
        <x:v>3</x:v>
      </x:c>
      <x:c r="I44" s="49" t="n">
        <x:v>0.5</x:v>
      </x:c>
      <x:c r="J44" s="49" t="str">
        <x:v>路面未硬化（待核验）</x:v>
      </x:c>
      <x:c r="K44" s="49" t="n">
        <x:v>1.5</x:v>
      </x:c>
      <x:c r="L44" s="58" t="n">
        <x:f>IF(OR(E44="",K44="",K44=0),"n.a.",E44/K44)</x:f>
        <x:v>58.800000000000004</x:v>
      </x:c>
      <x:c r="M44" s="38" t="str">
        <x:v>06:00—23:00（推定）</x:v>
      </x:c>
      <x:c r="N44" s="59" t="n">
        <x:v>0.45</x:v>
      </x:c>
      <x:c r="O44" s="38" t="str">
        <x:v>OSM</x:v>
      </x:c>
      <x:c r="P44" s="38" t="str">
        <x:v>原始社区数据表</x:v>
      </x:c>
      <x:c r="Q44" s="2"/>
      <x:c r="R44" s="2"/>
      <x:c r="S44" s="2"/>
      <x:c r="T44" s="2"/>
      <x:c r="U44" s="2"/>
      <x:c r="V44" s="2"/>
    </x:row>
    <x:row r="45" ht="34" customHeight="1">
      <x:c r="A45" s="38" t="str">
        <x:v>C01-E040</x:v>
      </x:c>
      <x:c r="B45" s="38" t="str">
        <x:v>C01</x:v>
      </x:c>
      <x:c r="C45" s="38" t="str">
        <x:v>C01-R009</x:v>
      </x:c>
      <x:c r="D45" s="38" t="str">
        <x:v>C01-R008</x:v>
      </x:c>
      <x:c r="E45" s="55" t="n">
        <x:v>9.7</x:v>
      </x:c>
      <x:c r="F45" s="38" t="str">
        <x:v>是</x:v>
      </x:c>
      <x:c r="G45" s="38" t="str">
        <x:v>待核验</x:v>
      </x:c>
      <x:c r="H45" s="49" t="n">
        <x:v>3.5</x:v>
      </x:c>
      <x:c r="I45" s="49" t="n">
        <x:v>0.5</x:v>
      </x:c>
      <x:c r="J45" s="49" t="str">
        <x:v>待核验（可能设路桩、台阶）</x:v>
      </x:c>
      <x:c r="K45" s="49" t="n">
        <x:v>2.22</x:v>
      </x:c>
      <x:c r="L45" s="58" t="n">
        <x:f>IF(OR(E45="",K45="",K45=0),"n.a.",E45/K45)</x:f>
        <x:v>4.369369369369369</x:v>
      </x:c>
      <x:c r="M45" s="38" t="str">
        <x:v>06:00—23:00（推定）</x:v>
      </x:c>
      <x:c r="N45" s="59" t="n">
        <x:v>0.4</x:v>
      </x:c>
      <x:c r="O45" s="38" t="str">
        <x:v>OSM</x:v>
      </x:c>
      <x:c r="P45" s="38" t="str">
        <x:v>原始社区数据表</x:v>
      </x:c>
      <x:c r="Q45" s="2"/>
      <x:c r="R45" s="2"/>
      <x:c r="S45" s="2"/>
      <x:c r="T45" s="2"/>
      <x:c r="U45" s="2"/>
      <x:c r="V45" s="2"/>
    </x:row>
    <x:row r="46" ht="34" customHeight="1">
      <x:c r="A46" s="38" t="str">
        <x:v>C01-E041</x:v>
      </x:c>
      <x:c r="B46" s="38" t="str">
        <x:v>C01</x:v>
      </x:c>
      <x:c r="C46" s="38" t="str">
        <x:v>C01-R008</x:v>
      </x:c>
      <x:c r="D46" s="38" t="str">
        <x:v>C01-R006</x:v>
      </x:c>
      <x:c r="E46" s="55" t="n">
        <x:v>24.1</x:v>
      </x:c>
      <x:c r="F46" s="38" t="str">
        <x:v>是</x:v>
      </x:c>
      <x:c r="G46" s="38" t="str">
        <x:v>待核验</x:v>
      </x:c>
      <x:c r="H46" s="49" t="n">
        <x:v>3.5</x:v>
      </x:c>
      <x:c r="I46" s="49" t="n">
        <x:v>0.5</x:v>
      </x:c>
      <x:c r="J46" s="49" t="str">
        <x:v>待核验（可能设路桩、台阶）</x:v>
      </x:c>
      <x:c r="K46" s="49" t="n">
        <x:v>2.22</x:v>
      </x:c>
      <x:c r="L46" s="58" t="n">
        <x:f>IF(OR(E46="",K46="",K46=0),"n.a.",E46/K46)</x:f>
        <x:v>10.855855855855856</x:v>
      </x:c>
      <x:c r="M46" s="38" t="str">
        <x:v>06:00—23:00（推定）</x:v>
      </x:c>
      <x:c r="N46" s="59" t="n">
        <x:v>0.4</x:v>
      </x:c>
      <x:c r="O46" s="38" t="str">
        <x:v>OSM</x:v>
      </x:c>
      <x:c r="P46" s="38" t="str">
        <x:v>原始社区数据表</x:v>
      </x:c>
      <x:c r="Q46" s="2"/>
      <x:c r="R46" s="2"/>
      <x:c r="S46" s="2"/>
      <x:c r="T46" s="2"/>
      <x:c r="U46" s="2"/>
      <x:c r="V46" s="2"/>
    </x:row>
    <x:row r="47" ht="34" customHeight="1">
      <x:c r="A47" s="38" t="str">
        <x:v>C01-E042</x:v>
      </x:c>
      <x:c r="B47" s="38" t="str">
        <x:v>C01</x:v>
      </x:c>
      <x:c r="C47" s="38" t="str">
        <x:v>C01-R006</x:v>
      </x:c>
      <x:c r="D47" s="38" t="str">
        <x:v>C01-R010</x:v>
      </x:c>
      <x:c r="E47" s="55" t="n">
        <x:v>20</x:v>
      </x:c>
      <x:c r="F47" s="38" t="str">
        <x:v>是</x:v>
      </x:c>
      <x:c r="G47" s="38" t="str">
        <x:v>待核验</x:v>
      </x:c>
      <x:c r="H47" s="49" t="n">
        <x:v>3.5</x:v>
      </x:c>
      <x:c r="I47" s="49" t="n">
        <x:v>0.5</x:v>
      </x:c>
      <x:c r="J47" s="49" t="str">
        <x:v>待核验（可能设路桩、台阶）</x:v>
      </x:c>
      <x:c r="K47" s="49" t="n">
        <x:v>2.22</x:v>
      </x:c>
      <x:c r="L47" s="58" t="n">
        <x:f>IF(OR(E47="",K47="",K47=0),"n.a.",E47/K47)</x:f>
        <x:v>9.009009009009008</x:v>
      </x:c>
      <x:c r="M47" s="38" t="str">
        <x:v>06:00—23:00（推定）</x:v>
      </x:c>
      <x:c r="N47" s="59" t="n">
        <x:v>0.4</x:v>
      </x:c>
      <x:c r="O47" s="38" t="str">
        <x:v>OSM</x:v>
      </x:c>
      <x:c r="P47" s="38" t="str">
        <x:v>原始社区数据表</x:v>
      </x:c>
      <x:c r="Q47" s="2"/>
      <x:c r="R47" s="2"/>
      <x:c r="S47" s="2"/>
      <x:c r="T47" s="2"/>
      <x:c r="U47" s="2"/>
      <x:c r="V47" s="2"/>
    </x:row>
    <x:row r="48" ht="34" customHeight="1">
      <x:c r="A48" s="38" t="str">
        <x:v>C01-E043</x:v>
      </x:c>
      <x:c r="B48" s="38" t="str">
        <x:v>C01</x:v>
      </x:c>
      <x:c r="C48" s="38" t="str">
        <x:v>C01-R010</x:v>
      </x:c>
      <x:c r="D48" s="38" t="str">
        <x:v>C01-R011</x:v>
      </x:c>
      <x:c r="E48" s="55" t="n">
        <x:v>30.3</x:v>
      </x:c>
      <x:c r="F48" s="38" t="str">
        <x:v>是</x:v>
      </x:c>
      <x:c r="G48" s="38" t="str">
        <x:v>待核验</x:v>
      </x:c>
      <x:c r="H48" s="49" t="n">
        <x:v>3.5</x:v>
      </x:c>
      <x:c r="I48" s="49" t="n">
        <x:v>0.5</x:v>
      </x:c>
      <x:c r="J48" s="49" t="str">
        <x:v>待核验（可能设路桩、台阶）</x:v>
      </x:c>
      <x:c r="K48" s="49" t="n">
        <x:v>2.22</x:v>
      </x:c>
      <x:c r="L48" s="58" t="n">
        <x:f>IF(OR(E48="",K48="",K48=0),"n.a.",E48/K48)</x:f>
        <x:v>13.648648648648647</x:v>
      </x:c>
      <x:c r="M48" s="38" t="str">
        <x:v>06:00—23:00（推定）</x:v>
      </x:c>
      <x:c r="N48" s="59" t="n">
        <x:v>0.4</x:v>
      </x:c>
      <x:c r="O48" s="38" t="str">
        <x:v>OSM</x:v>
      </x:c>
      <x:c r="P48" s="38" t="str">
        <x:v>原始社区数据表</x:v>
      </x:c>
      <x:c r="Q48" s="2"/>
      <x:c r="R48" s="2"/>
      <x:c r="S48" s="2"/>
      <x:c r="T48" s="2"/>
      <x:c r="U48" s="2"/>
      <x:c r="V48" s="2"/>
    </x:row>
    <x:row r="49" ht="34" customHeight="1">
      <x:c r="A49" s="38" t="str">
        <x:v>C01-E044</x:v>
      </x:c>
      <x:c r="B49" s="38" t="str">
        <x:v>C01</x:v>
      </x:c>
      <x:c r="C49" s="38" t="str">
        <x:v>C01-R011</x:v>
      </x:c>
      <x:c r="D49" s="38" t="str">
        <x:v>C01-R013</x:v>
      </x:c>
      <x:c r="E49" s="55" t="n">
        <x:v>14.3</x:v>
      </x:c>
      <x:c r="F49" s="38" t="str">
        <x:v>是</x:v>
      </x:c>
      <x:c r="G49" s="38" t="str">
        <x:v>待核验</x:v>
      </x:c>
      <x:c r="H49" s="49" t="n">
        <x:v>3.5</x:v>
      </x:c>
      <x:c r="I49" s="49" t="n">
        <x:v>0.5</x:v>
      </x:c>
      <x:c r="J49" s="49" t="str">
        <x:v>待核验（可能设路桩、台阶）</x:v>
      </x:c>
      <x:c r="K49" s="49" t="n">
        <x:v>2.22</x:v>
      </x:c>
      <x:c r="L49" s="58" t="n">
        <x:f>IF(OR(E49="",K49="",K49=0),"n.a.",E49/K49)</x:f>
        <x:v>6.441441441441441</x:v>
      </x:c>
      <x:c r="M49" s="38" t="str">
        <x:v>06:00—23:00（推定）</x:v>
      </x:c>
      <x:c r="N49" s="59" t="n">
        <x:v>0.4</x:v>
      </x:c>
      <x:c r="O49" s="38" t="str">
        <x:v>OSM</x:v>
      </x:c>
      <x:c r="P49" s="38" t="str">
        <x:v>原始社区数据表</x:v>
      </x:c>
      <x:c r="Q49" s="2"/>
      <x:c r="R49" s="2"/>
      <x:c r="S49" s="2"/>
      <x:c r="T49" s="2"/>
      <x:c r="U49" s="2"/>
      <x:c r="V49" s="2"/>
    </x:row>
    <x:row r="50" ht="34" customHeight="1">
      <x:c r="A50" s="38" t="str">
        <x:v>C01-E045</x:v>
      </x:c>
      <x:c r="B50" s="38" t="str">
        <x:v>C01</x:v>
      </x:c>
      <x:c r="C50" s="38" t="str">
        <x:v>C01-R013</x:v>
      </x:c>
      <x:c r="D50" s="38" t="str">
        <x:v>C01-R012</x:v>
      </x:c>
      <x:c r="E50" s="55" t="n">
        <x:v>22</x:v>
      </x:c>
      <x:c r="F50" s="38" t="str">
        <x:v>是</x:v>
      </x:c>
      <x:c r="G50" s="38" t="str">
        <x:v>待核验</x:v>
      </x:c>
      <x:c r="H50" s="49" t="n">
        <x:v>3.5</x:v>
      </x:c>
      <x:c r="I50" s="49" t="n">
        <x:v>0.5</x:v>
      </x:c>
      <x:c r="J50" s="49" t="str">
        <x:v>待核验（可能设路桩、台阶）</x:v>
      </x:c>
      <x:c r="K50" s="49" t="n">
        <x:v>2.22</x:v>
      </x:c>
      <x:c r="L50" s="58" t="n">
        <x:f>IF(OR(E50="",K50="",K50=0),"n.a.",E50/K50)</x:f>
        <x:v>9.909909909909908</x:v>
      </x:c>
      <x:c r="M50" s="38" t="str">
        <x:v>06:00—23:00（推定）</x:v>
      </x:c>
      <x:c r="N50" s="59" t="n">
        <x:v>0.4</x:v>
      </x:c>
      <x:c r="O50" s="38" t="str">
        <x:v>OSM</x:v>
      </x:c>
      <x:c r="P50" s="38" t="str">
        <x:v>原始社区数据表</x:v>
      </x:c>
      <x:c r="Q50" s="2"/>
      <x:c r="R50" s="2"/>
      <x:c r="S50" s="2"/>
      <x:c r="T50" s="2"/>
      <x:c r="U50" s="2"/>
      <x:c r="V50" s="2"/>
    </x:row>
    <x:row r="51" ht="34" customHeight="1">
      <x:c r="A51" s="38" t="str">
        <x:v>C01-E046</x:v>
      </x:c>
      <x:c r="B51" s="38" t="str">
        <x:v>C01</x:v>
      </x:c>
      <x:c r="C51" s="38" t="str">
        <x:v>C01-R012</x:v>
      </x:c>
      <x:c r="D51" s="38" t="str">
        <x:v>C01-R005</x:v>
      </x:c>
      <x:c r="E51" s="55" t="n">
        <x:v>167.5</x:v>
      </x:c>
      <x:c r="F51" s="38" t="str">
        <x:v>是</x:v>
      </x:c>
      <x:c r="G51" s="38" t="str">
        <x:v>待核验</x:v>
      </x:c>
      <x:c r="H51" s="49" t="n">
        <x:v>3.5</x:v>
      </x:c>
      <x:c r="I51" s="49" t="n">
        <x:v>0.5</x:v>
      </x:c>
      <x:c r="J51" s="49" t="str">
        <x:v>待核验（可能设路桩、台阶）</x:v>
      </x:c>
      <x:c r="K51" s="49" t="n">
        <x:v>2.22</x:v>
      </x:c>
      <x:c r="L51" s="58" t="n">
        <x:f>IF(OR(E51="",K51="",K51=0),"n.a.",E51/K51)</x:f>
        <x:v>75.45045045045045</x:v>
      </x:c>
      <x:c r="M51" s="38" t="str">
        <x:v>06:00—23:00（推定）</x:v>
      </x:c>
      <x:c r="N51" s="59" t="n">
        <x:v>0.4</x:v>
      </x:c>
      <x:c r="O51" s="38" t="str">
        <x:v>OSM</x:v>
      </x:c>
      <x:c r="P51" s="38" t="str">
        <x:v>原始社区数据表</x:v>
      </x:c>
      <x:c r="Q51" s="2"/>
      <x:c r="R51" s="2"/>
      <x:c r="S51" s="2"/>
      <x:c r="T51" s="2"/>
      <x:c r="U51" s="2"/>
      <x:c r="V51" s="2"/>
    </x:row>
    <x:row r="52" ht="34" customHeight="1">
      <x:c r="A52" s="38" t="str">
        <x:v>C01-E047</x:v>
      </x:c>
      <x:c r="B52" s="38" t="str">
        <x:v>C01</x:v>
      </x:c>
      <x:c r="C52" s="38" t="str">
        <x:v>C01-R001</x:v>
      </x:c>
      <x:c r="D52" s="38" t="str">
        <x:v>C01-R014</x:v>
      </x:c>
      <x:c r="E52" s="55" t="n">
        <x:v>453.8</x:v>
      </x:c>
      <x:c r="F52" s="38" t="str">
        <x:v>否</x:v>
      </x:c>
      <x:c r="G52" s="38" t="str">
        <x:v>是</x:v>
      </x:c>
      <x:c r="H52" s="49" t="n">
        <x:v>7.5</x:v>
      </x:c>
      <x:c r="I52" s="49" t="n">
        <x:v>0.3</x:v>
      </x:c>
      <x:c r="J52" s="49" t="str">
        <x:v>无（缘石高差，路侧停车待核）</x:v>
      </x:c>
      <x:c r="K52" s="49" t="n">
        <x:v>3.33</x:v>
      </x:c>
      <x:c r="L52" s="58" t="n">
        <x:f>IF(OR(E52="",K52="",K52=0),"n.a.",E52/K52)</x:f>
        <x:v>136.27627627627626</x:v>
      </x:c>
      <x:c r="M52" s="38"/>
      <x:c r="N52" s="59" t="n">
        <x:v>0.3</x:v>
      </x:c>
      <x:c r="O52" s="38" t="str">
        <x:v>OSM</x:v>
      </x:c>
      <x:c r="P52" s="38" t="str">
        <x:v>原始社区数据表</x:v>
      </x:c>
      <x:c r="Q52" s="2"/>
      <x:c r="R52" s="2"/>
      <x:c r="S52" s="2"/>
      <x:c r="T52" s="2"/>
      <x:c r="U52" s="2"/>
      <x:c r="V52" s="2"/>
    </x:row>
    <x:row r="53" ht="34" customHeight="1">
      <x:c r="A53" s="38" t="str">
        <x:v>C01-E048</x:v>
      </x:c>
      <x:c r="B53" s="38" t="str">
        <x:v>C01</x:v>
      </x:c>
      <x:c r="C53" s="38" t="str">
        <x:v>C01-R017</x:v>
      </x:c>
      <x:c r="D53" s="38" t="str">
        <x:v>C01-R014</x:v>
      </x:c>
      <x:c r="E53" s="55" t="n">
        <x:v>11.8</x:v>
      </x:c>
      <x:c r="F53" s="38" t="str">
        <x:v>否</x:v>
      </x:c>
      <x:c r="G53" s="38" t="str">
        <x:v>是</x:v>
      </x:c>
      <x:c r="H53" s="49" t="n">
        <x:v>7.5</x:v>
      </x:c>
      <x:c r="I53" s="49" t="n">
        <x:v>0.3</x:v>
      </x:c>
      <x:c r="J53" s="49" t="str">
        <x:v>无（缘石高差，路侧停车待核）</x:v>
      </x:c>
      <x:c r="K53" s="49" t="n">
        <x:v>3.33</x:v>
      </x:c>
      <x:c r="L53" s="58" t="n">
        <x:f>IF(OR(E53="",K53="",K53=0),"n.a.",E53/K53)</x:f>
        <x:v>3.5435435435435436</x:v>
      </x:c>
      <x:c r="M53" s="38"/>
      <x:c r="N53" s="59" t="n">
        <x:v>0.3</x:v>
      </x:c>
      <x:c r="O53" s="38" t="str">
        <x:v>OSM</x:v>
      </x:c>
      <x:c r="P53" s="38" t="str">
        <x:v>原始社区数据表</x:v>
      </x:c>
      <x:c r="Q53" s="2"/>
      <x:c r="R53" s="2"/>
      <x:c r="S53" s="2"/>
      <x:c r="T53" s="2"/>
      <x:c r="U53" s="2"/>
      <x:c r="V53" s="2"/>
    </x:row>
    <x:row r="54" ht="34" customHeight="1">
      <x:c r="A54" s="38" t="str">
        <x:v>C01-E049</x:v>
      </x:c>
      <x:c r="B54" s="38" t="str">
        <x:v>C01</x:v>
      </x:c>
      <x:c r="C54" s="38" t="str">
        <x:v>C01-R048</x:v>
      </x:c>
      <x:c r="D54" s="38" t="str">
        <x:v>C01-R038</x:v>
      </x:c>
      <x:c r="E54" s="55" t="n">
        <x:v>42.9</x:v>
      </x:c>
      <x:c r="F54" s="38" t="str">
        <x:v>是</x:v>
      </x:c>
      <x:c r="G54" s="38" t="str">
        <x:v>待核验</x:v>
      </x:c>
      <x:c r="H54" s="49" t="n">
        <x:v>3.5</x:v>
      </x:c>
      <x:c r="I54" s="49" t="n">
        <x:v>0.5</x:v>
      </x:c>
      <x:c r="J54" s="49" t="str">
        <x:v>待核验（可能设路桩、台阶）</x:v>
      </x:c>
      <x:c r="K54" s="49" t="n">
        <x:v>2.22</x:v>
      </x:c>
      <x:c r="L54" s="58" t="n">
        <x:f>IF(OR(E54="",K54="",K54=0),"n.a.",E54/K54)</x:f>
        <x:v>19.324324324324323</x:v>
      </x:c>
      <x:c r="M54" s="38" t="str">
        <x:v>06:00—23:00（推定）</x:v>
      </x:c>
      <x:c r="N54" s="59" t="n">
        <x:v>0.4</x:v>
      </x:c>
      <x:c r="O54" s="38" t="str">
        <x:v>推定（接入段）</x:v>
      </x:c>
      <x:c r="P54" s="38" t="str">
        <x:v>原始社区数据表</x:v>
      </x:c>
      <x:c r="Q54" s="2"/>
      <x:c r="R54" s="2"/>
      <x:c r="S54" s="2"/>
      <x:c r="T54" s="2"/>
      <x:c r="U54" s="2"/>
      <x:c r="V54" s="2"/>
    </x:row>
    <x:row r="55" ht="34" customHeight="1">
      <x:c r="A55" s="38" t="str">
        <x:v>C01-E050</x:v>
      </x:c>
      <x:c r="B55" s="38" t="str">
        <x:v>C01</x:v>
      </x:c>
      <x:c r="C55" s="38" t="str">
        <x:v>C01-R049</x:v>
      </x:c>
      <x:c r="D55" s="38" t="str">
        <x:v>C01-R031</x:v>
      </x:c>
      <x:c r="E55" s="55" t="n">
        <x:v>58</x:v>
      </x:c>
      <x:c r="F55" s="38" t="str">
        <x:v>是</x:v>
      </x:c>
      <x:c r="G55" s="38" t="str">
        <x:v>待核验</x:v>
      </x:c>
      <x:c r="H55" s="49" t="n">
        <x:v>3.5</x:v>
      </x:c>
      <x:c r="I55" s="49" t="n">
        <x:v>0.5</x:v>
      </x:c>
      <x:c r="J55" s="49" t="str">
        <x:v>待核验（可能设路桩、台阶）</x:v>
      </x:c>
      <x:c r="K55" s="49" t="n">
        <x:v>2.22</x:v>
      </x:c>
      <x:c r="L55" s="58" t="n">
        <x:f>IF(OR(E55="",K55="",K55=0),"n.a.",E55/K55)</x:f>
        <x:v>26.126126126126124</x:v>
      </x:c>
      <x:c r="M55" s="38" t="str">
        <x:v>06:00—23:00（推定）</x:v>
      </x:c>
      <x:c r="N55" s="59" t="n">
        <x:v>0.4</x:v>
      </x:c>
      <x:c r="O55" s="38" t="str">
        <x:v>推定（接入段）</x:v>
      </x:c>
      <x:c r="P55" s="38" t="str">
        <x:v>原始社区数据表</x:v>
      </x:c>
      <x:c r="Q55" s="2"/>
      <x:c r="R55" s="2"/>
      <x:c r="S55" s="2"/>
      <x:c r="T55" s="2"/>
      <x:c r="U55" s="2"/>
      <x:c r="V55" s="2"/>
    </x:row>
    <x:row r="56" ht="34" customHeight="1">
      <x:c r="A56" s="38" t="str">
        <x:v>C01-E051</x:v>
      </x:c>
      <x:c r="B56" s="38" t="str">
        <x:v>C01</x:v>
      </x:c>
      <x:c r="C56" s="38" t="str">
        <x:v>C01-R050</x:v>
      </x:c>
      <x:c r="D56" s="38" t="str">
        <x:v>C01-R035</x:v>
      </x:c>
      <x:c r="E56" s="55" t="n">
        <x:v>62</x:v>
      </x:c>
      <x:c r="F56" s="38" t="str">
        <x:v>是</x:v>
      </x:c>
      <x:c r="G56" s="38" t="str">
        <x:v>待核验</x:v>
      </x:c>
      <x:c r="H56" s="49" t="n">
        <x:v>3.5</x:v>
      </x:c>
      <x:c r="I56" s="49" t="n">
        <x:v>0.5</x:v>
      </x:c>
      <x:c r="J56" s="49" t="str">
        <x:v>待核验（可能设路桩、台阶）</x:v>
      </x:c>
      <x:c r="K56" s="49" t="n">
        <x:v>2.22</x:v>
      </x:c>
      <x:c r="L56" s="58" t="n">
        <x:f>IF(OR(E56="",K56="",K56=0),"n.a.",E56/K56)</x:f>
        <x:v>27.927927927927925</x:v>
      </x:c>
      <x:c r="M56" s="38" t="str">
        <x:v>06:00—23:00（推定）</x:v>
      </x:c>
      <x:c r="N56" s="59" t="n">
        <x:v>0.4</x:v>
      </x:c>
      <x:c r="O56" s="38" t="str">
        <x:v>推定（接入段）</x:v>
      </x:c>
      <x:c r="P56" s="38" t="str">
        <x:v>原始社区数据表</x:v>
      </x:c>
      <x:c r="Q56" s="2"/>
      <x:c r="R56" s="2"/>
      <x:c r="S56" s="2"/>
      <x:c r="T56" s="2"/>
      <x:c r="U56" s="2"/>
      <x:c r="V56" s="2"/>
    </x:row>
    <x:row r="57" ht="34" customHeight="1">
      <x:c r="A57" s="38" t="str">
        <x:v>C01-E052</x:v>
      </x:c>
      <x:c r="B57" s="38" t="str">
        <x:v>C01</x:v>
      </x:c>
      <x:c r="C57" s="38" t="str">
        <x:v>C01-R051</x:v>
      </x:c>
      <x:c r="D57" s="38" t="str">
        <x:v>C01-R031</x:v>
      </x:c>
      <x:c r="E57" s="55" t="n">
        <x:v>52.5</x:v>
      </x:c>
      <x:c r="F57" s="38" t="str">
        <x:v>是</x:v>
      </x:c>
      <x:c r="G57" s="38" t="str">
        <x:v>待核验</x:v>
      </x:c>
      <x:c r="H57" s="49" t="n">
        <x:v>3.5</x:v>
      </x:c>
      <x:c r="I57" s="49" t="n">
        <x:v>0.5</x:v>
      </x:c>
      <x:c r="J57" s="49" t="str">
        <x:v>待核验（可能设路桩、台阶）</x:v>
      </x:c>
      <x:c r="K57" s="49" t="n">
        <x:v>2.22</x:v>
      </x:c>
      <x:c r="L57" s="58" t="n">
        <x:f>IF(OR(E57="",K57="",K57=0),"n.a.",E57/K57)</x:f>
        <x:v>23.648648648648646</x:v>
      </x:c>
      <x:c r="M57" s="38" t="str">
        <x:v>06:00—23:00（推定）</x:v>
      </x:c>
      <x:c r="N57" s="59" t="n">
        <x:v>0.4</x:v>
      </x:c>
      <x:c r="O57" s="38" t="str">
        <x:v>推定（接入段）</x:v>
      </x:c>
      <x:c r="P57" s="38" t="str">
        <x:v>原始社区数据表</x:v>
      </x:c>
      <x:c r="Q57" s="2"/>
      <x:c r="R57" s="2"/>
      <x:c r="S57" s="2"/>
      <x:c r="T57" s="2"/>
      <x:c r="U57" s="2"/>
      <x:c r="V57" s="2"/>
    </x:row>
    <x:row r="58" ht="34" customHeight="1">
      <x:c r="A58" s="38" t="str">
        <x:v>C01-E053</x:v>
      </x:c>
      <x:c r="B58" s="38" t="str">
        <x:v>C01</x:v>
      </x:c>
      <x:c r="C58" s="38" t="str">
        <x:v>C01-R052</x:v>
      </x:c>
      <x:c r="D58" s="38" t="str">
        <x:v>C01-R028</x:v>
      </x:c>
      <x:c r="E58" s="55" t="n">
        <x:v>28.9</x:v>
      </x:c>
      <x:c r="F58" s="38" t="str">
        <x:v>是</x:v>
      </x:c>
      <x:c r="G58" s="38" t="str">
        <x:v>待核验</x:v>
      </x:c>
      <x:c r="H58" s="49" t="n">
        <x:v>3.5</x:v>
      </x:c>
      <x:c r="I58" s="49" t="n">
        <x:v>0.5</x:v>
      </x:c>
      <x:c r="J58" s="49" t="str">
        <x:v>待核验（可能设路桩、台阶）</x:v>
      </x:c>
      <x:c r="K58" s="49" t="n">
        <x:v>2.22</x:v>
      </x:c>
      <x:c r="L58" s="58" t="n">
        <x:f>IF(OR(E58="",K58="",K58=0),"n.a.",E58/K58)</x:f>
        <x:v>13.018018018018017</x:v>
      </x:c>
      <x:c r="M58" s="38" t="str">
        <x:v>06:00—23:00（推定）</x:v>
      </x:c>
      <x:c r="N58" s="59" t="n">
        <x:v>0.4</x:v>
      </x:c>
      <x:c r="O58" s="38" t="str">
        <x:v>推定（接入段）</x:v>
      </x:c>
      <x:c r="P58" s="38" t="str">
        <x:v>原始社区数据表</x:v>
      </x:c>
      <x:c r="Q58" s="2"/>
      <x:c r="R58" s="2"/>
      <x:c r="S58" s="2"/>
      <x:c r="T58" s="2"/>
      <x:c r="U58" s="2"/>
      <x:c r="V58" s="2"/>
    </x:row>
    <x:row r="59" ht="34" customHeight="1">
      <x:c r="A59" s="38" t="str">
        <x:v>C02-E001</x:v>
      </x:c>
      <x:c r="B59" s="38" t="str">
        <x:v>C02</x:v>
      </x:c>
      <x:c r="C59" s="38" t="str">
        <x:v>C02-R026</x:v>
      </x:c>
      <x:c r="D59" s="38" t="str">
        <x:v>C02-R027</x:v>
      </x:c>
      <x:c r="E59" s="55" t="n">
        <x:v>43.9</x:v>
      </x:c>
      <x:c r="F59" s="38" t="str">
        <x:v>是</x:v>
      </x:c>
      <x:c r="G59" s="38" t="str">
        <x:v>是</x:v>
      </x:c>
      <x:c r="H59" s="49" t="n">
        <x:v>7.5</x:v>
      </x:c>
      <x:c r="I59" s="49" t="n">
        <x:v>0.3</x:v>
      </x:c>
      <x:c r="J59" s="49" t="str">
        <x:v>无（缘石高差，路侧停车待核）</x:v>
      </x:c>
      <x:c r="K59" s="49" t="n">
        <x:v>3.33</x:v>
      </x:c>
      <x:c r="L59" s="58" t="n">
        <x:f>IF(OR(E59="",K59="",K59=0),"n.a.",E59/K59)</x:f>
        <x:v>13.183183183183182</x:v>
      </x:c>
      <x:c r="M59" s="38"/>
      <x:c r="N59" s="59" t="n">
        <x:v>0.3</x:v>
      </x:c>
      <x:c r="O59" s="38" t="str">
        <x:v>OSM</x:v>
      </x:c>
      <x:c r="P59" s="38" t="str">
        <x:v>原始社区数据表</x:v>
      </x:c>
      <x:c r="Q59" s="2"/>
      <x:c r="R59" s="2"/>
      <x:c r="S59" s="2"/>
      <x:c r="T59" s="2"/>
      <x:c r="U59" s="2"/>
      <x:c r="V59" s="2"/>
    </x:row>
    <x:row r="60" ht="34" customHeight="1">
      <x:c r="A60" s="38" t="str">
        <x:v>C02-E002</x:v>
      </x:c>
      <x:c r="B60" s="38" t="str">
        <x:v>C02</x:v>
      </x:c>
      <x:c r="C60" s="38" t="str">
        <x:v>C02-R027</x:v>
      </x:c>
      <x:c r="D60" s="38" t="str">
        <x:v>C02-R028</x:v>
      </x:c>
      <x:c r="E60" s="55" t="n">
        <x:v>12</x:v>
      </x:c>
      <x:c r="F60" s="38" t="str">
        <x:v>是</x:v>
      </x:c>
      <x:c r="G60" s="38" t="str">
        <x:v>是</x:v>
      </x:c>
      <x:c r="H60" s="49" t="n">
        <x:v>7.5</x:v>
      </x:c>
      <x:c r="I60" s="49" t="n">
        <x:v>0.3</x:v>
      </x:c>
      <x:c r="J60" s="49" t="str">
        <x:v>无（缘石高差，路侧停车待核）</x:v>
      </x:c>
      <x:c r="K60" s="49" t="n">
        <x:v>3.33</x:v>
      </x:c>
      <x:c r="L60" s="58" t="n">
        <x:f>IF(OR(E60="",K60="",K60=0),"n.a.",E60/K60)</x:f>
        <x:v>3.6036036036036037</x:v>
      </x:c>
      <x:c r="M60" s="38"/>
      <x:c r="N60" s="59" t="n">
        <x:v>0.3</x:v>
      </x:c>
      <x:c r="O60" s="38" t="str">
        <x:v>OSM</x:v>
      </x:c>
      <x:c r="P60" s="38" t="str">
        <x:v>原始社区数据表</x:v>
      </x:c>
      <x:c r="Q60" s="2"/>
      <x:c r="R60" s="2"/>
      <x:c r="S60" s="2"/>
      <x:c r="T60" s="2"/>
      <x:c r="U60" s="2"/>
      <x:c r="V60" s="2"/>
    </x:row>
    <x:row r="61" ht="34" customHeight="1">
      <x:c r="A61" s="38" t="str">
        <x:v>C02-E003</x:v>
      </x:c>
      <x:c r="B61" s="38" t="str">
        <x:v>C02</x:v>
      </x:c>
      <x:c r="C61" s="38" t="str">
        <x:v>C02-R028</x:v>
      </x:c>
      <x:c r="D61" s="38" t="str">
        <x:v>C02-R037</x:v>
      </x:c>
      <x:c r="E61" s="55" t="n">
        <x:v>30.4</x:v>
      </x:c>
      <x:c r="F61" s="38" t="str">
        <x:v>是</x:v>
      </x:c>
      <x:c r="G61" s="38" t="str">
        <x:v>是</x:v>
      </x:c>
      <x:c r="H61" s="49" t="n">
        <x:v>7.5</x:v>
      </x:c>
      <x:c r="I61" s="49" t="n">
        <x:v>0.3</x:v>
      </x:c>
      <x:c r="J61" s="49" t="str">
        <x:v>无（缘石高差，路侧停车待核）</x:v>
      </x:c>
      <x:c r="K61" s="49" t="n">
        <x:v>3.33</x:v>
      </x:c>
      <x:c r="L61" s="58" t="n">
        <x:f>IF(OR(E61="",K61="",K61=0),"n.a.",E61/K61)</x:f>
        <x:v>9.129129129129128</x:v>
      </x:c>
      <x:c r="M61" s="38"/>
      <x:c r="N61" s="59" t="n">
        <x:v>0.3</x:v>
      </x:c>
      <x:c r="O61" s="38" t="str">
        <x:v>OSM</x:v>
      </x:c>
      <x:c r="P61" s="38" t="str">
        <x:v>原始社区数据表</x:v>
      </x:c>
      <x:c r="Q61" s="2"/>
      <x:c r="R61" s="2"/>
      <x:c r="S61" s="2"/>
      <x:c r="T61" s="2"/>
      <x:c r="U61" s="2"/>
      <x:c r="V61" s="2"/>
    </x:row>
    <x:row r="62" ht="34" customHeight="1">
      <x:c r="A62" s="38" t="str">
        <x:v>C02-E004</x:v>
      </x:c>
      <x:c r="B62" s="38" t="str">
        <x:v>C02</x:v>
      </x:c>
      <x:c r="C62" s="38" t="str">
        <x:v>C02-R037</x:v>
      </x:c>
      <x:c r="D62" s="38" t="str">
        <x:v>C02-R042</x:v>
      </x:c>
      <x:c r="E62" s="55" t="n">
        <x:v>30.5</x:v>
      </x:c>
      <x:c r="F62" s="38" t="str">
        <x:v>是</x:v>
      </x:c>
      <x:c r="G62" s="38" t="str">
        <x:v>是</x:v>
      </x:c>
      <x:c r="H62" s="49" t="n">
        <x:v>7.5</x:v>
      </x:c>
      <x:c r="I62" s="49" t="n">
        <x:v>0.3</x:v>
      </x:c>
      <x:c r="J62" s="49" t="str">
        <x:v>无（缘石高差，路侧停车待核）</x:v>
      </x:c>
      <x:c r="K62" s="49" t="n">
        <x:v>3.33</x:v>
      </x:c>
      <x:c r="L62" s="58" t="n">
        <x:f>IF(OR(E62="",K62="",K62=0),"n.a.",E62/K62)</x:f>
        <x:v>9.15915915915916</x:v>
      </x:c>
      <x:c r="M62" s="38"/>
      <x:c r="N62" s="59" t="n">
        <x:v>0.3</x:v>
      </x:c>
      <x:c r="O62" s="38" t="str">
        <x:v>OSM</x:v>
      </x:c>
      <x:c r="P62" s="38" t="str">
        <x:v>原始社区数据表</x:v>
      </x:c>
      <x:c r="Q62" s="2"/>
      <x:c r="R62" s="2"/>
      <x:c r="S62" s="2"/>
      <x:c r="T62" s="2"/>
      <x:c r="U62" s="2"/>
      <x:c r="V62" s="2"/>
    </x:row>
    <x:row r="63" ht="34" customHeight="1">
      <x:c r="A63" s="38" t="str">
        <x:v>C02-E005</x:v>
      </x:c>
      <x:c r="B63" s="38" t="str">
        <x:v>C02</x:v>
      </x:c>
      <x:c r="C63" s="38" t="str">
        <x:v>C02-R042</x:v>
      </x:c>
      <x:c r="D63" s="38" t="str">
        <x:v>C02-R045</x:v>
      </x:c>
      <x:c r="E63" s="55" t="n">
        <x:v>28.8</x:v>
      </x:c>
      <x:c r="F63" s="38" t="str">
        <x:v>是</x:v>
      </x:c>
      <x:c r="G63" s="38" t="str">
        <x:v>是</x:v>
      </x:c>
      <x:c r="H63" s="49" t="n">
        <x:v>7.5</x:v>
      </x:c>
      <x:c r="I63" s="49" t="n">
        <x:v>0.3</x:v>
      </x:c>
      <x:c r="J63" s="49" t="str">
        <x:v>无（缘石高差，路侧停车待核）</x:v>
      </x:c>
      <x:c r="K63" s="49" t="n">
        <x:v>3.33</x:v>
      </x:c>
      <x:c r="L63" s="58" t="n">
        <x:f>IF(OR(E63="",K63="",K63=0),"n.a.",E63/K63)</x:f>
        <x:v>8.64864864864865</x:v>
      </x:c>
      <x:c r="M63" s="38"/>
      <x:c r="N63" s="59" t="n">
        <x:v>0.3</x:v>
      </x:c>
      <x:c r="O63" s="38" t="str">
        <x:v>OSM</x:v>
      </x:c>
      <x:c r="P63" s="38" t="str">
        <x:v>原始社区数据表</x:v>
      </x:c>
      <x:c r="Q63" s="2"/>
      <x:c r="R63" s="2"/>
      <x:c r="S63" s="2"/>
      <x:c r="T63" s="2"/>
      <x:c r="U63" s="2"/>
      <x:c r="V63" s="2"/>
    </x:row>
    <x:row r="64" ht="34" customHeight="1">
      <x:c r="A64" s="38" t="str">
        <x:v>C02-E006</x:v>
      </x:c>
      <x:c r="B64" s="38" t="str">
        <x:v>C02</x:v>
      </x:c>
      <x:c r="C64" s="38" t="str">
        <x:v>C02-R045</x:v>
      </x:c>
      <x:c r="D64" s="38" t="str">
        <x:v>C02-R067</x:v>
      </x:c>
      <x:c r="E64" s="55" t="n">
        <x:v>185.2</x:v>
      </x:c>
      <x:c r="F64" s="38" t="str">
        <x:v>是</x:v>
      </x:c>
      <x:c r="G64" s="38" t="str">
        <x:v>是</x:v>
      </x:c>
      <x:c r="H64" s="49" t="n">
        <x:v>7.5</x:v>
      </x:c>
      <x:c r="I64" s="49" t="n">
        <x:v>0.3</x:v>
      </x:c>
      <x:c r="J64" s="49" t="str">
        <x:v>无（缘石高差，路侧停车待核）</x:v>
      </x:c>
      <x:c r="K64" s="49" t="n">
        <x:v>3.33</x:v>
      </x:c>
      <x:c r="L64" s="58" t="n">
        <x:f>IF(OR(E64="",K64="",K64=0),"n.a.",E64/K64)</x:f>
        <x:v>55.61561561561561</x:v>
      </x:c>
      <x:c r="M64" s="38"/>
      <x:c r="N64" s="59" t="n">
        <x:v>0.3</x:v>
      </x:c>
      <x:c r="O64" s="38" t="str">
        <x:v>OSM</x:v>
      </x:c>
      <x:c r="P64" s="38" t="str">
        <x:v>原始社区数据表</x:v>
      </x:c>
      <x:c r="Q64" s="2"/>
      <x:c r="R64" s="2"/>
      <x:c r="S64" s="2"/>
      <x:c r="T64" s="2"/>
      <x:c r="U64" s="2"/>
      <x:c r="V64" s="2"/>
    </x:row>
    <x:row r="65" ht="34" customHeight="1">
      <x:c r="A65" s="38" t="str">
        <x:v>C02-E007</x:v>
      </x:c>
      <x:c r="B65" s="38" t="str">
        <x:v>C02</x:v>
      </x:c>
      <x:c r="C65" s="38" t="str">
        <x:v>C02-R026</x:v>
      </x:c>
      <x:c r="D65" s="38" t="str">
        <x:v>C02-R024</x:v>
      </x:c>
      <x:c r="E65" s="55" t="n">
        <x:v>23</x:v>
      </x:c>
      <x:c r="F65" s="38" t="str">
        <x:v>否</x:v>
      </x:c>
      <x:c r="G65" s="38" t="str">
        <x:v>是</x:v>
      </x:c>
      <x:c r="H65" s="49" t="n">
        <x:v>7.5</x:v>
      </x:c>
      <x:c r="I65" s="49" t="n">
        <x:v>0.3</x:v>
      </x:c>
      <x:c r="J65" s="49" t="str">
        <x:v>无（缘石高差，路侧停车待核）</x:v>
      </x:c>
      <x:c r="K65" s="49" t="n">
        <x:v>3.33</x:v>
      </x:c>
      <x:c r="L65" s="58" t="n">
        <x:f>IF(OR(E65="",K65="",K65=0),"n.a.",E65/K65)</x:f>
        <x:v>6.906906906906907</x:v>
      </x:c>
      <x:c r="M65" s="38"/>
      <x:c r="N65" s="59" t="n">
        <x:v>0.3</x:v>
      </x:c>
      <x:c r="O65" s="38" t="str">
        <x:v>OSM</x:v>
      </x:c>
      <x:c r="P65" s="38" t="str">
        <x:v>原始社区数据表</x:v>
      </x:c>
      <x:c r="Q65" s="2"/>
      <x:c r="R65" s="2"/>
      <x:c r="S65" s="2"/>
      <x:c r="T65" s="2"/>
      <x:c r="U65" s="2"/>
      <x:c r="V65" s="2"/>
    </x:row>
    <x:row r="66" ht="34" customHeight="1">
      <x:c r="A66" s="38" t="str">
        <x:v>C02-E008</x:v>
      </x:c>
      <x:c r="B66" s="38" t="str">
        <x:v>C02</x:v>
      </x:c>
      <x:c r="C66" s="38" t="str">
        <x:v>C02-R024</x:v>
      </x:c>
      <x:c r="D66" s="38" t="str">
        <x:v>C02-R014</x:v>
      </x:c>
      <x:c r="E66" s="55" t="n">
        <x:v>68</x:v>
      </x:c>
      <x:c r="F66" s="38" t="str">
        <x:v>否</x:v>
      </x:c>
      <x:c r="G66" s="38" t="str">
        <x:v>是</x:v>
      </x:c>
      <x:c r="H66" s="49" t="n">
        <x:v>7.5</x:v>
      </x:c>
      <x:c r="I66" s="49" t="n">
        <x:v>0.3</x:v>
      </x:c>
      <x:c r="J66" s="49" t="str">
        <x:v>无（缘石高差，路侧停车待核）</x:v>
      </x:c>
      <x:c r="K66" s="49" t="n">
        <x:v>3.33</x:v>
      </x:c>
      <x:c r="L66" s="58" t="n">
        <x:f>IF(OR(E66="",K66="",K66=0),"n.a.",E66/K66)</x:f>
        <x:v>20.42042042042042</x:v>
      </x:c>
      <x:c r="M66" s="38"/>
      <x:c r="N66" s="59" t="n">
        <x:v>0.3</x:v>
      </x:c>
      <x:c r="O66" s="38" t="str">
        <x:v>OSM</x:v>
      </x:c>
      <x:c r="P66" s="38" t="str">
        <x:v>原始社区数据表</x:v>
      </x:c>
      <x:c r="Q66" s="2"/>
      <x:c r="R66" s="2"/>
      <x:c r="S66" s="2"/>
      <x:c r="T66" s="2"/>
      <x:c r="U66" s="2"/>
      <x:c r="V66" s="2"/>
    </x:row>
    <x:row r="67" ht="34" customHeight="1">
      <x:c r="A67" s="38" t="str">
        <x:v>C02-E009</x:v>
      </x:c>
      <x:c r="B67" s="38" t="str">
        <x:v>C02</x:v>
      </x:c>
      <x:c r="C67" s="38" t="str">
        <x:v>C02-R067</x:v>
      </x:c>
      <x:c r="D67" s="38" t="str">
        <x:v>C02-R057</x:v>
      </x:c>
      <x:c r="E67" s="55" t="n">
        <x:v>146.4</x:v>
      </x:c>
      <x:c r="F67" s="38" t="str">
        <x:v>是</x:v>
      </x:c>
      <x:c r="G67" s="38" t="str">
        <x:v>是</x:v>
      </x:c>
      <x:c r="H67" s="49" t="n">
        <x:v>7.5</x:v>
      </x:c>
      <x:c r="I67" s="49" t="n">
        <x:v>0.3</x:v>
      </x:c>
      <x:c r="J67" s="49" t="str">
        <x:v>无（缘石高差，路侧停车待核）</x:v>
      </x:c>
      <x:c r="K67" s="49" t="n">
        <x:v>3.33</x:v>
      </x:c>
      <x:c r="L67" s="58" t="n">
        <x:f>IF(OR(E67="",K67="",K67=0),"n.a.",E67/K67)</x:f>
        <x:v>43.96396396396396</x:v>
      </x:c>
      <x:c r="M67" s="38"/>
      <x:c r="N67" s="59" t="n">
        <x:v>0.3</x:v>
      </x:c>
      <x:c r="O67" s="38" t="str">
        <x:v>OSM</x:v>
      </x:c>
      <x:c r="P67" s="38" t="str">
        <x:v>原始社区数据表</x:v>
      </x:c>
      <x:c r="Q67" s="2"/>
      <x:c r="R67" s="2"/>
      <x:c r="S67" s="2"/>
      <x:c r="T67" s="2"/>
      <x:c r="U67" s="2"/>
      <x:c r="V67" s="2"/>
    </x:row>
    <x:row r="68" ht="34" customHeight="1">
      <x:c r="A68" s="38" t="str">
        <x:v>C02-E010</x:v>
      </x:c>
      <x:c r="B68" s="38" t="str">
        <x:v>C02</x:v>
      </x:c>
      <x:c r="C68" s="38" t="str">
        <x:v>C02-R057</x:v>
      </x:c>
      <x:c r="D68" s="38" t="str">
        <x:v>C02-R056</x:v>
      </x:c>
      <x:c r="E68" s="55" t="n">
        <x:v>15.3</x:v>
      </x:c>
      <x:c r="F68" s="38" t="str">
        <x:v>是</x:v>
      </x:c>
      <x:c r="G68" s="38" t="str">
        <x:v>是</x:v>
      </x:c>
      <x:c r="H68" s="49" t="n">
        <x:v>7.5</x:v>
      </x:c>
      <x:c r="I68" s="49" t="n">
        <x:v>0.3</x:v>
      </x:c>
      <x:c r="J68" s="49" t="str">
        <x:v>无（缘石高差，路侧停车待核）</x:v>
      </x:c>
      <x:c r="K68" s="49" t="n">
        <x:v>3.33</x:v>
      </x:c>
      <x:c r="L68" s="58" t="n">
        <x:f>IF(OR(E68="",K68="",K68=0),"n.a.",E68/K68)</x:f>
        <x:v>4.594594594594595</x:v>
      </x:c>
      <x:c r="M68" s="38"/>
      <x:c r="N68" s="59" t="n">
        <x:v>0.3</x:v>
      </x:c>
      <x:c r="O68" s="38" t="str">
        <x:v>OSM</x:v>
      </x:c>
      <x:c r="P68" s="38" t="str">
        <x:v>原始社区数据表</x:v>
      </x:c>
      <x:c r="Q68" s="2"/>
      <x:c r="R68" s="2"/>
      <x:c r="S68" s="2"/>
      <x:c r="T68" s="2"/>
      <x:c r="U68" s="2"/>
      <x:c r="V68" s="2"/>
    </x:row>
    <x:row r="69" ht="34" customHeight="1">
      <x:c r="A69" s="38" t="str">
        <x:v>C02-E011</x:v>
      </x:c>
      <x:c r="B69" s="38" t="str">
        <x:v>C02</x:v>
      </x:c>
      <x:c r="C69" s="38" t="str">
        <x:v>C02-R056</x:v>
      </x:c>
      <x:c r="D69" s="38" t="str">
        <x:v>C02-R052</x:v>
      </x:c>
      <x:c r="E69" s="55" t="n">
        <x:v>40</x:v>
      </x:c>
      <x:c r="F69" s="38" t="str">
        <x:v>是</x:v>
      </x:c>
      <x:c r="G69" s="38" t="str">
        <x:v>是</x:v>
      </x:c>
      <x:c r="H69" s="49" t="n">
        <x:v>7.5</x:v>
      </x:c>
      <x:c r="I69" s="49" t="n">
        <x:v>0.3</x:v>
      </x:c>
      <x:c r="J69" s="49" t="str">
        <x:v>无（缘石高差，路侧停车待核）</x:v>
      </x:c>
      <x:c r="K69" s="49" t="n">
        <x:v>3.33</x:v>
      </x:c>
      <x:c r="L69" s="58" t="n">
        <x:f>IF(OR(E69="",K69="",K69=0),"n.a.",E69/K69)</x:f>
        <x:v>12.012012012012011</x:v>
      </x:c>
      <x:c r="M69" s="38"/>
      <x:c r="N69" s="59" t="n">
        <x:v>0.3</x:v>
      </x:c>
      <x:c r="O69" s="38" t="str">
        <x:v>OSM</x:v>
      </x:c>
      <x:c r="P69" s="38" t="str">
        <x:v>原始社区数据表</x:v>
      </x:c>
      <x:c r="Q69" s="2"/>
      <x:c r="R69" s="2"/>
      <x:c r="S69" s="2"/>
      <x:c r="T69" s="2"/>
      <x:c r="U69" s="2"/>
      <x:c r="V69" s="2"/>
    </x:row>
    <x:row r="70" ht="34" customHeight="1">
      <x:c r="A70" s="38" t="str">
        <x:v>C02-E012</x:v>
      </x:c>
      <x:c r="B70" s="38" t="str">
        <x:v>C02</x:v>
      </x:c>
      <x:c r="C70" s="38" t="str">
        <x:v>C02-R052</x:v>
      </x:c>
      <x:c r="D70" s="38" t="str">
        <x:v>C02-R049</x:v>
      </x:c>
      <x:c r="E70" s="55" t="n">
        <x:v>33.8</x:v>
      </x:c>
      <x:c r="F70" s="38" t="str">
        <x:v>是</x:v>
      </x:c>
      <x:c r="G70" s="38" t="str">
        <x:v>是</x:v>
      </x:c>
      <x:c r="H70" s="49" t="n">
        <x:v>7.5</x:v>
      </x:c>
      <x:c r="I70" s="49" t="n">
        <x:v>0.3</x:v>
      </x:c>
      <x:c r="J70" s="49" t="str">
        <x:v>无（缘石高差，路侧停车待核）</x:v>
      </x:c>
      <x:c r="K70" s="49" t="n">
        <x:v>3.33</x:v>
      </x:c>
      <x:c r="L70" s="58" t="n">
        <x:f>IF(OR(E70="",K70="",K70=0),"n.a.",E70/K70)</x:f>
        <x:v>10.150150150150148</x:v>
      </x:c>
      <x:c r="M70" s="38"/>
      <x:c r="N70" s="59" t="n">
        <x:v>0.3</x:v>
      </x:c>
      <x:c r="O70" s="38" t="str">
        <x:v>OSM</x:v>
      </x:c>
      <x:c r="P70" s="38" t="str">
        <x:v>原始社区数据表</x:v>
      </x:c>
      <x:c r="Q70" s="2"/>
      <x:c r="R70" s="2"/>
      <x:c r="S70" s="2"/>
      <x:c r="T70" s="2"/>
      <x:c r="U70" s="2"/>
      <x:c r="V70" s="2"/>
    </x:row>
    <x:row r="71" ht="34" customHeight="1">
      <x:c r="A71" s="38" t="str">
        <x:v>C02-E013</x:v>
      </x:c>
      <x:c r="B71" s="38" t="str">
        <x:v>C02</x:v>
      </x:c>
      <x:c r="C71" s="38" t="str">
        <x:v>C02-R049</x:v>
      </x:c>
      <x:c r="D71" s="38" t="str">
        <x:v>C02-R047</x:v>
      </x:c>
      <x:c r="E71" s="55" t="n">
        <x:v>20.9</x:v>
      </x:c>
      <x:c r="F71" s="38" t="str">
        <x:v>是</x:v>
      </x:c>
      <x:c r="G71" s="38" t="str">
        <x:v>是</x:v>
      </x:c>
      <x:c r="H71" s="49" t="n">
        <x:v>7.5</x:v>
      </x:c>
      <x:c r="I71" s="49" t="n">
        <x:v>0.3</x:v>
      </x:c>
      <x:c r="J71" s="49" t="str">
        <x:v>无（缘石高差，路侧停车待核）</x:v>
      </x:c>
      <x:c r="K71" s="49" t="n">
        <x:v>3.33</x:v>
      </x:c>
      <x:c r="L71" s="58" t="n">
        <x:f>IF(OR(E71="",K71="",K71=0),"n.a.",E71/K71)</x:f>
        <x:v>6.276276276276276</x:v>
      </x:c>
      <x:c r="M71" s="38"/>
      <x:c r="N71" s="59" t="n">
        <x:v>0.3</x:v>
      </x:c>
      <x:c r="O71" s="38" t="str">
        <x:v>OSM</x:v>
      </x:c>
      <x:c r="P71" s="38" t="str">
        <x:v>原始社区数据表</x:v>
      </x:c>
      <x:c r="Q71" s="2"/>
      <x:c r="R71" s="2"/>
      <x:c r="S71" s="2"/>
      <x:c r="T71" s="2"/>
      <x:c r="U71" s="2"/>
      <x:c r="V71" s="2"/>
    </x:row>
    <x:row r="72" ht="34" customHeight="1">
      <x:c r="A72" s="38" t="str">
        <x:v>C02-E014</x:v>
      </x:c>
      <x:c r="B72" s="38" t="str">
        <x:v>C02</x:v>
      </x:c>
      <x:c r="C72" s="38" t="str">
        <x:v>C02-R047</x:v>
      </x:c>
      <x:c r="D72" s="38" t="str">
        <x:v>C02-R038</x:v>
      </x:c>
      <x:c r="E72" s="55" t="n">
        <x:v>127.8</x:v>
      </x:c>
      <x:c r="F72" s="38" t="str">
        <x:v>是</x:v>
      </x:c>
      <x:c r="G72" s="38" t="str">
        <x:v>是</x:v>
      </x:c>
      <x:c r="H72" s="49" t="n">
        <x:v>7.5</x:v>
      </x:c>
      <x:c r="I72" s="49" t="n">
        <x:v>0.3</x:v>
      </x:c>
      <x:c r="J72" s="49" t="str">
        <x:v>无（缘石高差，路侧停车待核）</x:v>
      </x:c>
      <x:c r="K72" s="49" t="n">
        <x:v>3.33</x:v>
      </x:c>
      <x:c r="L72" s="58" t="n">
        <x:f>IF(OR(E72="",K72="",K72=0),"n.a.",E72/K72)</x:f>
        <x:v>38.37837837837838</x:v>
      </x:c>
      <x:c r="M72" s="38"/>
      <x:c r="N72" s="59" t="n">
        <x:v>0.3</x:v>
      </x:c>
      <x:c r="O72" s="38" t="str">
        <x:v>OSM</x:v>
      </x:c>
      <x:c r="P72" s="38" t="str">
        <x:v>原始社区数据表</x:v>
      </x:c>
      <x:c r="Q72" s="2"/>
      <x:c r="R72" s="2"/>
      <x:c r="S72" s="2"/>
      <x:c r="T72" s="2"/>
      <x:c r="U72" s="2"/>
      <x:c r="V72" s="2"/>
    </x:row>
    <x:row r="73" ht="34" customHeight="1">
      <x:c r="A73" s="38" t="str">
        <x:v>C02-E015</x:v>
      </x:c>
      <x:c r="B73" s="38" t="str">
        <x:v>C02</x:v>
      </x:c>
      <x:c r="C73" s="38" t="str">
        <x:v>C02-R004</x:v>
      </x:c>
      <x:c r="D73" s="38" t="str">
        <x:v>C02-R047</x:v>
      </x:c>
      <x:c r="E73" s="55" t="n">
        <x:v>419.7</x:v>
      </x:c>
      <x:c r="F73" s="38" t="str">
        <x:v>是</x:v>
      </x:c>
      <x:c r="G73" s="38" t="str">
        <x:v>待核验</x:v>
      </x:c>
      <x:c r="H73" s="49" t="n">
        <x:v>5.5</x:v>
      </x:c>
      <x:c r="I73" s="49" t="n">
        <x:v>0.5</x:v>
      </x:c>
      <x:c r="J73" s="49" t="str">
        <x:v>待核验（可能设路桩、减速带）</x:v>
      </x:c>
      <x:c r="K73" s="49" t="n">
        <x:v>2.22</x:v>
      </x:c>
      <x:c r="L73" s="58" t="n">
        <x:f>IF(OR(E73="",K73="",K73=0),"n.a.",E73/K73)</x:f>
        <x:v>189.05405405405403</x:v>
      </x:c>
      <x:c r="M73" s="38" t="str">
        <x:v>06:00—23:00（推定）</x:v>
      </x:c>
      <x:c r="N73" s="59" t="n">
        <x:v>0.35</x:v>
      </x:c>
      <x:c r="O73" s="38" t="str">
        <x:v>OSM</x:v>
      </x:c>
      <x:c r="P73" s="38" t="str">
        <x:v>原始社区数据表</x:v>
      </x:c>
      <x:c r="Q73" s="2"/>
      <x:c r="R73" s="2"/>
      <x:c r="S73" s="2"/>
      <x:c r="T73" s="2"/>
      <x:c r="U73" s="2"/>
      <x:c r="V73" s="2"/>
    </x:row>
    <x:row r="74" ht="34" customHeight="1">
      <x:c r="A74" s="38" t="str">
        <x:v>C02-E016</x:v>
      </x:c>
      <x:c r="B74" s="38" t="str">
        <x:v>C02</x:v>
      </x:c>
      <x:c r="C74" s="38" t="str">
        <x:v>C02-R074</x:v>
      </x:c>
      <x:c r="D74" s="38" t="str">
        <x:v>C02-R073</x:v>
      </x:c>
      <x:c r="E74" s="55" t="n">
        <x:v>20.2</x:v>
      </x:c>
      <x:c r="F74" s="38" t="str">
        <x:v>是</x:v>
      </x:c>
      <x:c r="G74" s="38" t="str">
        <x:v>待核验</x:v>
      </x:c>
      <x:c r="H74" s="49" t="n">
        <x:v>3.5</x:v>
      </x:c>
      <x:c r="I74" s="49" t="n">
        <x:v>0.5</x:v>
      </x:c>
      <x:c r="J74" s="49" t="str">
        <x:v>待核验（可能设路桩、台阶）</x:v>
      </x:c>
      <x:c r="K74" s="49" t="n">
        <x:v>2.22</x:v>
      </x:c>
      <x:c r="L74" s="58" t="n">
        <x:f>IF(OR(E74="",K74="",K74=0),"n.a.",E74/K74)</x:f>
        <x:v>9.099099099099098</x:v>
      </x:c>
      <x:c r="M74" s="38" t="str">
        <x:v>06:00—23:00（推定）</x:v>
      </x:c>
      <x:c r="N74" s="59" t="n">
        <x:v>0.4</x:v>
      </x:c>
      <x:c r="O74" s="38" t="str">
        <x:v>OSM</x:v>
      </x:c>
      <x:c r="P74" s="38" t="str">
        <x:v>原始社区数据表</x:v>
      </x:c>
      <x:c r="Q74" s="2"/>
      <x:c r="R74" s="2"/>
      <x:c r="S74" s="2"/>
      <x:c r="T74" s="2"/>
      <x:c r="U74" s="2"/>
      <x:c r="V74" s="2"/>
    </x:row>
    <x:row r="75" ht="34" customHeight="1">
      <x:c r="A75" s="38" t="str">
        <x:v>C02-E017</x:v>
      </x:c>
      <x:c r="B75" s="38" t="str">
        <x:v>C02</x:v>
      </x:c>
      <x:c r="C75" s="38" t="str">
        <x:v>C02-R073</x:v>
      </x:c>
      <x:c r="D75" s="38" t="str">
        <x:v>C02-R072</x:v>
      </x:c>
      <x:c r="E75" s="55" t="n">
        <x:v>17</x:v>
      </x:c>
      <x:c r="F75" s="38" t="str">
        <x:v>是</x:v>
      </x:c>
      <x:c r="G75" s="38" t="str">
        <x:v>待核验</x:v>
      </x:c>
      <x:c r="H75" s="49" t="n">
        <x:v>3.5</x:v>
      </x:c>
      <x:c r="I75" s="49" t="n">
        <x:v>0.5</x:v>
      </x:c>
      <x:c r="J75" s="49" t="str">
        <x:v>待核验（可能设路桩、台阶）</x:v>
      </x:c>
      <x:c r="K75" s="49" t="n">
        <x:v>2.22</x:v>
      </x:c>
      <x:c r="L75" s="58" t="n">
        <x:f>IF(OR(E75="",K75="",K75=0),"n.a.",E75/K75)</x:f>
        <x:v>7.657657657657657</x:v>
      </x:c>
      <x:c r="M75" s="38" t="str">
        <x:v>06:00—23:00（推定）</x:v>
      </x:c>
      <x:c r="N75" s="59" t="n">
        <x:v>0.4</x:v>
      </x:c>
      <x:c r="O75" s="38" t="str">
        <x:v>OSM</x:v>
      </x:c>
      <x:c r="P75" s="38" t="str">
        <x:v>原始社区数据表</x:v>
      </x:c>
      <x:c r="Q75" s="2"/>
      <x:c r="R75" s="2"/>
      <x:c r="S75" s="2"/>
      <x:c r="T75" s="2"/>
      <x:c r="U75" s="2"/>
      <x:c r="V75" s="2"/>
    </x:row>
    <x:row r="76" ht="34" customHeight="1">
      <x:c r="A76" s="38" t="str">
        <x:v>C02-E018</x:v>
      </x:c>
      <x:c r="B76" s="38" t="str">
        <x:v>C02</x:v>
      </x:c>
      <x:c r="C76" s="38" t="str">
        <x:v>C02-R072</x:v>
      </x:c>
      <x:c r="D76" s="38" t="str">
        <x:v>C02-R071</x:v>
      </x:c>
      <x:c r="E76" s="55" t="n">
        <x:v>34.3</x:v>
      </x:c>
      <x:c r="F76" s="38" t="str">
        <x:v>是</x:v>
      </x:c>
      <x:c r="G76" s="38" t="str">
        <x:v>待核验</x:v>
      </x:c>
      <x:c r="H76" s="49" t="n">
        <x:v>3.5</x:v>
      </x:c>
      <x:c r="I76" s="49" t="n">
        <x:v>0.5</x:v>
      </x:c>
      <x:c r="J76" s="49" t="str">
        <x:v>待核验（可能设路桩、台阶）</x:v>
      </x:c>
      <x:c r="K76" s="49" t="n">
        <x:v>2.22</x:v>
      </x:c>
      <x:c r="L76" s="58" t="n">
        <x:f>IF(OR(E76="",K76="",K76=0),"n.a.",E76/K76)</x:f>
        <x:v>15.450450450450449</x:v>
      </x:c>
      <x:c r="M76" s="38" t="str">
        <x:v>06:00—23:00（推定）</x:v>
      </x:c>
      <x:c r="N76" s="59" t="n">
        <x:v>0.4</x:v>
      </x:c>
      <x:c r="O76" s="38" t="str">
        <x:v>OSM</x:v>
      </x:c>
      <x:c r="P76" s="38" t="str">
        <x:v>原始社区数据表</x:v>
      </x:c>
      <x:c r="Q76" s="2"/>
      <x:c r="R76" s="2"/>
      <x:c r="S76" s="2"/>
      <x:c r="T76" s="2"/>
      <x:c r="U76" s="2"/>
      <x:c r="V76" s="2"/>
    </x:row>
    <x:row r="77" ht="34" customHeight="1">
      <x:c r="A77" s="38" t="str">
        <x:v>C02-E019</x:v>
      </x:c>
      <x:c r="B77" s="38" t="str">
        <x:v>C02</x:v>
      </x:c>
      <x:c r="C77" s="38" t="str">
        <x:v>C02-R071</x:v>
      </x:c>
      <x:c r="D77" s="38" t="str">
        <x:v>C02-R070</x:v>
      </x:c>
      <x:c r="E77" s="55" t="n">
        <x:v>20.4</x:v>
      </x:c>
      <x:c r="F77" s="38" t="str">
        <x:v>是</x:v>
      </x:c>
      <x:c r="G77" s="38" t="str">
        <x:v>待核验</x:v>
      </x:c>
      <x:c r="H77" s="49" t="n">
        <x:v>3.5</x:v>
      </x:c>
      <x:c r="I77" s="49" t="n">
        <x:v>0.5</x:v>
      </x:c>
      <x:c r="J77" s="49" t="str">
        <x:v>待核验（可能设路桩、台阶）</x:v>
      </x:c>
      <x:c r="K77" s="49" t="n">
        <x:v>2.22</x:v>
      </x:c>
      <x:c r="L77" s="58" t="n">
        <x:f>IF(OR(E77="",K77="",K77=0),"n.a.",E77/K77)</x:f>
        <x:v>9.189189189189188</x:v>
      </x:c>
      <x:c r="M77" s="38" t="str">
        <x:v>06:00—23:00（推定）</x:v>
      </x:c>
      <x:c r="N77" s="59" t="n">
        <x:v>0.4</x:v>
      </x:c>
      <x:c r="O77" s="38" t="str">
        <x:v>OSM</x:v>
      </x:c>
      <x:c r="P77" s="38" t="str">
        <x:v>原始社区数据表</x:v>
      </x:c>
      <x:c r="Q77" s="2"/>
      <x:c r="R77" s="2"/>
      <x:c r="S77" s="2"/>
      <x:c r="T77" s="2"/>
      <x:c r="U77" s="2"/>
      <x:c r="V77" s="2"/>
    </x:row>
    <x:row r="78" ht="34" customHeight="1">
      <x:c r="A78" s="38" t="str">
        <x:v>C02-E020</x:v>
      </x:c>
      <x:c r="B78" s="38" t="str">
        <x:v>C02</x:v>
      </x:c>
      <x:c r="C78" s="38" t="str">
        <x:v>C02-R070</x:v>
      </x:c>
      <x:c r="D78" s="38" t="str">
        <x:v>C02-R069</x:v>
      </x:c>
      <x:c r="E78" s="55" t="n">
        <x:v>20.8</x:v>
      </x:c>
      <x:c r="F78" s="38" t="str">
        <x:v>是</x:v>
      </x:c>
      <x:c r="G78" s="38" t="str">
        <x:v>待核验</x:v>
      </x:c>
      <x:c r="H78" s="49" t="n">
        <x:v>3.5</x:v>
      </x:c>
      <x:c r="I78" s="49" t="n">
        <x:v>0.5</x:v>
      </x:c>
      <x:c r="J78" s="49" t="str">
        <x:v>待核验（可能设路桩、台阶）</x:v>
      </x:c>
      <x:c r="K78" s="49" t="n">
        <x:v>2.22</x:v>
      </x:c>
      <x:c r="L78" s="58" t="n">
        <x:f>IF(OR(E78="",K78="",K78=0),"n.a.",E78/K78)</x:f>
        <x:v>9.36936936936937</x:v>
      </x:c>
      <x:c r="M78" s="38" t="str">
        <x:v>06:00—23:00（推定）</x:v>
      </x:c>
      <x:c r="N78" s="59" t="n">
        <x:v>0.4</x:v>
      </x:c>
      <x:c r="O78" s="38" t="str">
        <x:v>OSM</x:v>
      </x:c>
      <x:c r="P78" s="38" t="str">
        <x:v>原始社区数据表</x:v>
      </x:c>
      <x:c r="Q78" s="2"/>
      <x:c r="R78" s="2"/>
      <x:c r="S78" s="2"/>
      <x:c r="T78" s="2"/>
      <x:c r="U78" s="2"/>
      <x:c r="V78" s="2"/>
    </x:row>
    <x:row r="79" ht="34" customHeight="1">
      <x:c r="A79" s="38" t="str">
        <x:v>C02-E021</x:v>
      </x:c>
      <x:c r="B79" s="38" t="str">
        <x:v>C02</x:v>
      </x:c>
      <x:c r="C79" s="38" t="str">
        <x:v>C02-R069</x:v>
      </x:c>
      <x:c r="D79" s="38" t="str">
        <x:v>C02-R068</x:v>
      </x:c>
      <x:c r="E79" s="55" t="n">
        <x:v>26.2</x:v>
      </x:c>
      <x:c r="F79" s="38" t="str">
        <x:v>是</x:v>
      </x:c>
      <x:c r="G79" s="38" t="str">
        <x:v>待核验</x:v>
      </x:c>
      <x:c r="H79" s="49" t="n">
        <x:v>3.5</x:v>
      </x:c>
      <x:c r="I79" s="49" t="n">
        <x:v>0.5</x:v>
      </x:c>
      <x:c r="J79" s="49" t="str">
        <x:v>待核验（可能设路桩、台阶）</x:v>
      </x:c>
      <x:c r="K79" s="49" t="n">
        <x:v>2.22</x:v>
      </x:c>
      <x:c r="L79" s="58" t="n">
        <x:f>IF(OR(E79="",K79="",K79=0),"n.a.",E79/K79)</x:f>
        <x:v>11.801801801801801</x:v>
      </x:c>
      <x:c r="M79" s="38" t="str">
        <x:v>06:00—23:00（推定）</x:v>
      </x:c>
      <x:c r="N79" s="59" t="n">
        <x:v>0.4</x:v>
      </x:c>
      <x:c r="O79" s="38" t="str">
        <x:v>OSM</x:v>
      </x:c>
      <x:c r="P79" s="38" t="str">
        <x:v>原始社区数据表</x:v>
      </x:c>
      <x:c r="Q79" s="2"/>
      <x:c r="R79" s="2"/>
      <x:c r="S79" s="2"/>
      <x:c r="T79" s="2"/>
      <x:c r="U79" s="2"/>
      <x:c r="V79" s="2"/>
    </x:row>
    <x:row r="80" ht="34" customHeight="1">
      <x:c r="A80" s="38" t="str">
        <x:v>C02-E022</x:v>
      </x:c>
      <x:c r="B80" s="38" t="str">
        <x:v>C02</x:v>
      </x:c>
      <x:c r="C80" s="38" t="str">
        <x:v>C02-R068</x:v>
      </x:c>
      <x:c r="D80" s="38" t="str">
        <x:v>C02-R066</x:v>
      </x:c>
      <x:c r="E80" s="55" t="n">
        <x:v>19.8</x:v>
      </x:c>
      <x:c r="F80" s="38" t="str">
        <x:v>是</x:v>
      </x:c>
      <x:c r="G80" s="38" t="str">
        <x:v>待核验</x:v>
      </x:c>
      <x:c r="H80" s="49" t="n">
        <x:v>3.5</x:v>
      </x:c>
      <x:c r="I80" s="49" t="n">
        <x:v>0.5</x:v>
      </x:c>
      <x:c r="J80" s="49" t="str">
        <x:v>待核验（可能设路桩、台阶）</x:v>
      </x:c>
      <x:c r="K80" s="49" t="n">
        <x:v>2.22</x:v>
      </x:c>
      <x:c r="L80" s="58" t="n">
        <x:f>IF(OR(E80="",K80="",K80=0),"n.a.",E80/K80)</x:f>
        <x:v>8.91891891891892</x:v>
      </x:c>
      <x:c r="M80" s="38" t="str">
        <x:v>06:00—23:00（推定）</x:v>
      </x:c>
      <x:c r="N80" s="59" t="n">
        <x:v>0.4</x:v>
      </x:c>
      <x:c r="O80" s="38" t="str">
        <x:v>OSM</x:v>
      </x:c>
      <x:c r="P80" s="38" t="str">
        <x:v>原始社区数据表</x:v>
      </x:c>
      <x:c r="Q80" s="2"/>
      <x:c r="R80" s="2"/>
      <x:c r="S80" s="2"/>
      <x:c r="T80" s="2"/>
      <x:c r="U80" s="2"/>
      <x:c r="V80" s="2"/>
    </x:row>
    <x:row r="81" ht="34" customHeight="1">
      <x:c r="A81" s="38" t="str">
        <x:v>C02-E023</x:v>
      </x:c>
      <x:c r="B81" s="38" t="str">
        <x:v>C02</x:v>
      </x:c>
      <x:c r="C81" s="38" t="str">
        <x:v>C02-R066</x:v>
      </x:c>
      <x:c r="D81" s="38" t="str">
        <x:v>C02-R065</x:v>
      </x:c>
      <x:c r="E81" s="55" t="n">
        <x:v>5.9</x:v>
      </x:c>
      <x:c r="F81" s="38" t="str">
        <x:v>是</x:v>
      </x:c>
      <x:c r="G81" s="38" t="str">
        <x:v>待核验</x:v>
      </x:c>
      <x:c r="H81" s="49" t="n">
        <x:v>3.5</x:v>
      </x:c>
      <x:c r="I81" s="49" t="n">
        <x:v>0.5</x:v>
      </x:c>
      <x:c r="J81" s="49" t="str">
        <x:v>待核验（可能设路桩、台阶）</x:v>
      </x:c>
      <x:c r="K81" s="49" t="n">
        <x:v>2.22</x:v>
      </x:c>
      <x:c r="L81" s="58" t="n">
        <x:f>IF(OR(E81="",K81="",K81=0),"n.a.",E81/K81)</x:f>
        <x:v>2.6576576576576576</x:v>
      </x:c>
      <x:c r="M81" s="38" t="str">
        <x:v>06:00—23:00（推定）</x:v>
      </x:c>
      <x:c r="N81" s="59" t="n">
        <x:v>0.4</x:v>
      </x:c>
      <x:c r="O81" s="38" t="str">
        <x:v>OSM</x:v>
      </x:c>
      <x:c r="P81" s="38" t="str">
        <x:v>原始社区数据表</x:v>
      </x:c>
      <x:c r="Q81" s="2"/>
      <x:c r="R81" s="2"/>
      <x:c r="S81" s="2"/>
      <x:c r="T81" s="2"/>
      <x:c r="U81" s="2"/>
      <x:c r="V81" s="2"/>
    </x:row>
    <x:row r="82" ht="34" customHeight="1">
      <x:c r="A82" s="38" t="str">
        <x:v>C02-E024</x:v>
      </x:c>
      <x:c r="B82" s="38" t="str">
        <x:v>C02</x:v>
      </x:c>
      <x:c r="C82" s="38" t="str">
        <x:v>C02-R065</x:v>
      </x:c>
      <x:c r="D82" s="38" t="str">
        <x:v>C02-R064</x:v>
      </x:c>
      <x:c r="E82" s="55" t="n">
        <x:v>17.5</x:v>
      </x:c>
      <x:c r="F82" s="38" t="str">
        <x:v>是</x:v>
      </x:c>
      <x:c r="G82" s="38" t="str">
        <x:v>待核验</x:v>
      </x:c>
      <x:c r="H82" s="49" t="n">
        <x:v>3.5</x:v>
      </x:c>
      <x:c r="I82" s="49" t="n">
        <x:v>0.5</x:v>
      </x:c>
      <x:c r="J82" s="49" t="str">
        <x:v>待核验（可能设路桩、台阶）</x:v>
      </x:c>
      <x:c r="K82" s="49" t="n">
        <x:v>2.22</x:v>
      </x:c>
      <x:c r="L82" s="58" t="n">
        <x:f>IF(OR(E82="",K82="",K82=0),"n.a.",E82/K82)</x:f>
        <x:v>7.882882882882882</x:v>
      </x:c>
      <x:c r="M82" s="38" t="str">
        <x:v>06:00—23:00（推定）</x:v>
      </x:c>
      <x:c r="N82" s="59" t="n">
        <x:v>0.4</x:v>
      </x:c>
      <x:c r="O82" s="38" t="str">
        <x:v>OSM</x:v>
      </x:c>
      <x:c r="P82" s="38" t="str">
        <x:v>原始社区数据表</x:v>
      </x:c>
      <x:c r="Q82" s="2"/>
      <x:c r="R82" s="2"/>
      <x:c r="S82" s="2"/>
      <x:c r="T82" s="2"/>
      <x:c r="U82" s="2"/>
      <x:c r="V82" s="2"/>
    </x:row>
    <x:row r="83" ht="34" customHeight="1">
      <x:c r="A83" s="38" t="str">
        <x:v>C02-E025</x:v>
      </x:c>
      <x:c r="B83" s="38" t="str">
        <x:v>C02</x:v>
      </x:c>
      <x:c r="C83" s="38" t="str">
        <x:v>C02-R064</x:v>
      </x:c>
      <x:c r="D83" s="38" t="str">
        <x:v>C02-R061</x:v>
      </x:c>
      <x:c r="E83" s="55" t="n">
        <x:v>22.9</x:v>
      </x:c>
      <x:c r="F83" s="38" t="str">
        <x:v>是</x:v>
      </x:c>
      <x:c r="G83" s="38" t="str">
        <x:v>待核验</x:v>
      </x:c>
      <x:c r="H83" s="49" t="n">
        <x:v>3.5</x:v>
      </x:c>
      <x:c r="I83" s="49" t="n">
        <x:v>0.5</x:v>
      </x:c>
      <x:c r="J83" s="49" t="str">
        <x:v>待核验（可能设路桩、台阶）</x:v>
      </x:c>
      <x:c r="K83" s="49" t="n">
        <x:v>2.22</x:v>
      </x:c>
      <x:c r="L83" s="58" t="n">
        <x:f>IF(OR(E83="",K83="",K83=0),"n.a.",E83/K83)</x:f>
        <x:v>10.315315315315313</x:v>
      </x:c>
      <x:c r="M83" s="38" t="str">
        <x:v>06:00—23:00（推定）</x:v>
      </x:c>
      <x:c r="N83" s="59" t="n">
        <x:v>0.4</x:v>
      </x:c>
      <x:c r="O83" s="38" t="str">
        <x:v>OSM</x:v>
      </x:c>
      <x:c r="P83" s="38" t="str">
        <x:v>原始社区数据表</x:v>
      </x:c>
      <x:c r="Q83" s="2"/>
      <x:c r="R83" s="2"/>
      <x:c r="S83" s="2"/>
      <x:c r="T83" s="2"/>
      <x:c r="U83" s="2"/>
      <x:c r="V83" s="2"/>
    </x:row>
    <x:row r="84" ht="34" customHeight="1">
      <x:c r="A84" s="38" t="str">
        <x:v>C02-E026</x:v>
      </x:c>
      <x:c r="B84" s="38" t="str">
        <x:v>C02</x:v>
      </x:c>
      <x:c r="C84" s="38" t="str">
        <x:v>C02-R061</x:v>
      </x:c>
      <x:c r="D84" s="38" t="str">
        <x:v>C02-R058</x:v>
      </x:c>
      <x:c r="E84" s="55" t="n">
        <x:v>33.4</x:v>
      </x:c>
      <x:c r="F84" s="38" t="str">
        <x:v>是</x:v>
      </x:c>
      <x:c r="G84" s="38" t="str">
        <x:v>待核验</x:v>
      </x:c>
      <x:c r="H84" s="49" t="n">
        <x:v>3.5</x:v>
      </x:c>
      <x:c r="I84" s="49" t="n">
        <x:v>0.5</x:v>
      </x:c>
      <x:c r="J84" s="49" t="str">
        <x:v>待核验（可能设路桩、台阶）</x:v>
      </x:c>
      <x:c r="K84" s="49" t="n">
        <x:v>2.22</x:v>
      </x:c>
      <x:c r="L84" s="58" t="n">
        <x:f>IF(OR(E84="",K84="",K84=0),"n.a.",E84/K84)</x:f>
        <x:v>15.045045045045043</x:v>
      </x:c>
      <x:c r="M84" s="38" t="str">
        <x:v>06:00—23:00（推定）</x:v>
      </x:c>
      <x:c r="N84" s="59" t="n">
        <x:v>0.4</x:v>
      </x:c>
      <x:c r="O84" s="38" t="str">
        <x:v>OSM</x:v>
      </x:c>
      <x:c r="P84" s="38" t="str">
        <x:v>原始社区数据表</x:v>
      </x:c>
      <x:c r="Q84" s="2"/>
      <x:c r="R84" s="2"/>
      <x:c r="S84" s="2"/>
      <x:c r="T84" s="2"/>
      <x:c r="U84" s="2"/>
      <x:c r="V84" s="2"/>
    </x:row>
    <x:row r="85" ht="34" customHeight="1">
      <x:c r="A85" s="38" t="str">
        <x:v>C02-E027</x:v>
      </x:c>
      <x:c r="B85" s="38" t="str">
        <x:v>C02</x:v>
      </x:c>
      <x:c r="C85" s="38" t="str">
        <x:v>C02-R058</x:v>
      </x:c>
      <x:c r="D85" s="38" t="str">
        <x:v>C02-R050</x:v>
      </x:c>
      <x:c r="E85" s="55" t="n">
        <x:v>40.1</x:v>
      </x:c>
      <x:c r="F85" s="38" t="str">
        <x:v>是</x:v>
      </x:c>
      <x:c r="G85" s="38" t="str">
        <x:v>待核验</x:v>
      </x:c>
      <x:c r="H85" s="49" t="n">
        <x:v>3.5</x:v>
      </x:c>
      <x:c r="I85" s="49" t="n">
        <x:v>0.5</x:v>
      </x:c>
      <x:c r="J85" s="49" t="str">
        <x:v>待核验（可能设路桩、台阶）</x:v>
      </x:c>
      <x:c r="K85" s="49" t="n">
        <x:v>2.22</x:v>
      </x:c>
      <x:c r="L85" s="58" t="n">
        <x:f>IF(OR(E85="",K85="",K85=0),"n.a.",E85/K85)</x:f>
        <x:v>18.063063063063062</x:v>
      </x:c>
      <x:c r="M85" s="38" t="str">
        <x:v>06:00—23:00（推定）</x:v>
      </x:c>
      <x:c r="N85" s="59" t="n">
        <x:v>0.4</x:v>
      </x:c>
      <x:c r="O85" s="38" t="str">
        <x:v>OSM</x:v>
      </x:c>
      <x:c r="P85" s="38" t="str">
        <x:v>原始社区数据表</x:v>
      </x:c>
      <x:c r="Q85" s="2"/>
      <x:c r="R85" s="2"/>
      <x:c r="S85" s="2"/>
      <x:c r="T85" s="2"/>
      <x:c r="U85" s="2"/>
      <x:c r="V85" s="2"/>
    </x:row>
    <x:row r="86" ht="34" customHeight="1">
      <x:c r="A86" s="38" t="str">
        <x:v>C02-E028</x:v>
      </x:c>
      <x:c r="B86" s="38" t="str">
        <x:v>C02</x:v>
      </x:c>
      <x:c r="C86" s="38" t="str">
        <x:v>C02-R050</x:v>
      </x:c>
      <x:c r="D86" s="38" t="str">
        <x:v>C02-R048</x:v>
      </x:c>
      <x:c r="E86" s="55" t="n">
        <x:v>18.8</x:v>
      </x:c>
      <x:c r="F86" s="38" t="str">
        <x:v>是</x:v>
      </x:c>
      <x:c r="G86" s="38" t="str">
        <x:v>待核验</x:v>
      </x:c>
      <x:c r="H86" s="49" t="n">
        <x:v>3.5</x:v>
      </x:c>
      <x:c r="I86" s="49" t="n">
        <x:v>0.5</x:v>
      </x:c>
      <x:c r="J86" s="49" t="str">
        <x:v>待核验（可能设路桩、台阶）</x:v>
      </x:c>
      <x:c r="K86" s="49" t="n">
        <x:v>2.22</x:v>
      </x:c>
      <x:c r="L86" s="58" t="n">
        <x:f>IF(OR(E86="",K86="",K86=0),"n.a.",E86/K86)</x:f>
        <x:v>8.468468468468467</x:v>
      </x:c>
      <x:c r="M86" s="38" t="str">
        <x:v>06:00—23:00（推定）</x:v>
      </x:c>
      <x:c r="N86" s="59" t="n">
        <x:v>0.4</x:v>
      </x:c>
      <x:c r="O86" s="38" t="str">
        <x:v>OSM</x:v>
      </x:c>
      <x:c r="P86" s="38" t="str">
        <x:v>原始社区数据表</x:v>
      </x:c>
      <x:c r="Q86" s="2"/>
      <x:c r="R86" s="2"/>
      <x:c r="S86" s="2"/>
      <x:c r="T86" s="2"/>
      <x:c r="U86" s="2"/>
      <x:c r="V86" s="2"/>
    </x:row>
    <x:row r="87" ht="34" customHeight="1">
      <x:c r="A87" s="38" t="str">
        <x:v>C02-E029</x:v>
      </x:c>
      <x:c r="B87" s="38" t="str">
        <x:v>C02</x:v>
      </x:c>
      <x:c r="C87" s="38" t="str">
        <x:v>C02-R048</x:v>
      </x:c>
      <x:c r="D87" s="38" t="str">
        <x:v>C02-R046</x:v>
      </x:c>
      <x:c r="E87" s="55" t="n">
        <x:v>14</x:v>
      </x:c>
      <x:c r="F87" s="38" t="str">
        <x:v>是</x:v>
      </x:c>
      <x:c r="G87" s="38" t="str">
        <x:v>待核验</x:v>
      </x:c>
      <x:c r="H87" s="49" t="n">
        <x:v>3.5</x:v>
      </x:c>
      <x:c r="I87" s="49" t="n">
        <x:v>0.5</x:v>
      </x:c>
      <x:c r="J87" s="49" t="str">
        <x:v>待核验（可能设路桩、台阶）</x:v>
      </x:c>
      <x:c r="K87" s="49" t="n">
        <x:v>2.22</x:v>
      </x:c>
      <x:c r="L87" s="58" t="n">
        <x:f>IF(OR(E87="",K87="",K87=0),"n.a.",E87/K87)</x:f>
        <x:v>6.306306306306306</x:v>
      </x:c>
      <x:c r="M87" s="38" t="str">
        <x:v>06:00—23:00（推定）</x:v>
      </x:c>
      <x:c r="N87" s="59" t="n">
        <x:v>0.4</x:v>
      </x:c>
      <x:c r="O87" s="38" t="str">
        <x:v>OSM</x:v>
      </x:c>
      <x:c r="P87" s="38" t="str">
        <x:v>原始社区数据表</x:v>
      </x:c>
      <x:c r="Q87" s="2"/>
      <x:c r="R87" s="2"/>
      <x:c r="S87" s="2"/>
      <x:c r="T87" s="2"/>
      <x:c r="U87" s="2"/>
      <x:c r="V87" s="2"/>
    </x:row>
    <x:row r="88" ht="34" customHeight="1">
      <x:c r="A88" s="38" t="str">
        <x:v>C02-E030</x:v>
      </x:c>
      <x:c r="B88" s="38" t="str">
        <x:v>C02</x:v>
      </x:c>
      <x:c r="C88" s="38" t="str">
        <x:v>C02-R046</x:v>
      </x:c>
      <x:c r="D88" s="38" t="str">
        <x:v>C02-R044</x:v>
      </x:c>
      <x:c r="E88" s="55" t="n">
        <x:v>22.1</x:v>
      </x:c>
      <x:c r="F88" s="38" t="str">
        <x:v>是</x:v>
      </x:c>
      <x:c r="G88" s="38" t="str">
        <x:v>待核验</x:v>
      </x:c>
      <x:c r="H88" s="49" t="n">
        <x:v>3.5</x:v>
      </x:c>
      <x:c r="I88" s="49" t="n">
        <x:v>0.5</x:v>
      </x:c>
      <x:c r="J88" s="49" t="str">
        <x:v>待核验（可能设路桩、台阶）</x:v>
      </x:c>
      <x:c r="K88" s="49" t="n">
        <x:v>2.22</x:v>
      </x:c>
      <x:c r="L88" s="58" t="n">
        <x:f>IF(OR(E88="",K88="",K88=0),"n.a.",E88/K88)</x:f>
        <x:v>9.954954954954955</x:v>
      </x:c>
      <x:c r="M88" s="38" t="str">
        <x:v>06:00—23:00（推定）</x:v>
      </x:c>
      <x:c r="N88" s="59" t="n">
        <x:v>0.4</x:v>
      </x:c>
      <x:c r="O88" s="38" t="str">
        <x:v>OSM</x:v>
      </x:c>
      <x:c r="P88" s="38" t="str">
        <x:v>原始社区数据表</x:v>
      </x:c>
      <x:c r="Q88" s="2"/>
      <x:c r="R88" s="2"/>
      <x:c r="S88" s="2"/>
      <x:c r="T88" s="2"/>
      <x:c r="U88" s="2"/>
      <x:c r="V88" s="2"/>
    </x:row>
    <x:row r="89" ht="34" customHeight="1">
      <x:c r="A89" s="38" t="str">
        <x:v>C02-E031</x:v>
      </x:c>
      <x:c r="B89" s="38" t="str">
        <x:v>C02</x:v>
      </x:c>
      <x:c r="C89" s="38" t="str">
        <x:v>C02-R044</x:v>
      </x:c>
      <x:c r="D89" s="38" t="str">
        <x:v>C02-R041</x:v>
      </x:c>
      <x:c r="E89" s="55" t="n">
        <x:v>29.9</x:v>
      </x:c>
      <x:c r="F89" s="38" t="str">
        <x:v>是</x:v>
      </x:c>
      <x:c r="G89" s="38" t="str">
        <x:v>待核验</x:v>
      </x:c>
      <x:c r="H89" s="49" t="n">
        <x:v>3.5</x:v>
      </x:c>
      <x:c r="I89" s="49" t="n">
        <x:v>0.5</x:v>
      </x:c>
      <x:c r="J89" s="49" t="str">
        <x:v>待核验（可能设路桩、台阶）</x:v>
      </x:c>
      <x:c r="K89" s="49" t="n">
        <x:v>2.22</x:v>
      </x:c>
      <x:c r="L89" s="58" t="n">
        <x:f>IF(OR(E89="",K89="",K89=0),"n.a.",E89/K89)</x:f>
        <x:v>13.468468468468467</x:v>
      </x:c>
      <x:c r="M89" s="38" t="str">
        <x:v>06:00—23:00（推定）</x:v>
      </x:c>
      <x:c r="N89" s="59" t="n">
        <x:v>0.4</x:v>
      </x:c>
      <x:c r="O89" s="38" t="str">
        <x:v>OSM</x:v>
      </x:c>
      <x:c r="P89" s="38" t="str">
        <x:v>原始社区数据表</x:v>
      </x:c>
      <x:c r="Q89" s="2"/>
      <x:c r="R89" s="2"/>
      <x:c r="S89" s="2"/>
      <x:c r="T89" s="2"/>
      <x:c r="U89" s="2"/>
      <x:c r="V89" s="2"/>
    </x:row>
    <x:row r="90" ht="34" customHeight="1">
      <x:c r="A90" s="38" t="str">
        <x:v>C02-E032</x:v>
      </x:c>
      <x:c r="B90" s="38" t="str">
        <x:v>C02</x:v>
      </x:c>
      <x:c r="C90" s="38" t="str">
        <x:v>C02-R041</x:v>
      </x:c>
      <x:c r="D90" s="38" t="str">
        <x:v>C02-R039</x:v>
      </x:c>
      <x:c r="E90" s="55" t="n">
        <x:v>19.7</x:v>
      </x:c>
      <x:c r="F90" s="38" t="str">
        <x:v>是</x:v>
      </x:c>
      <x:c r="G90" s="38" t="str">
        <x:v>待核验</x:v>
      </x:c>
      <x:c r="H90" s="49" t="n">
        <x:v>3.5</x:v>
      </x:c>
      <x:c r="I90" s="49" t="n">
        <x:v>0.5</x:v>
      </x:c>
      <x:c r="J90" s="49" t="str">
        <x:v>待核验（可能设路桩、台阶）</x:v>
      </x:c>
      <x:c r="K90" s="49" t="n">
        <x:v>2.22</x:v>
      </x:c>
      <x:c r="L90" s="58" t="n">
        <x:f>IF(OR(E90="",K90="",K90=0),"n.a.",E90/K90)</x:f>
        <x:v>8.873873873873872</x:v>
      </x:c>
      <x:c r="M90" s="38" t="str">
        <x:v>06:00—23:00（推定）</x:v>
      </x:c>
      <x:c r="N90" s="59" t="n">
        <x:v>0.4</x:v>
      </x:c>
      <x:c r="O90" s="38" t="str">
        <x:v>OSM</x:v>
      </x:c>
      <x:c r="P90" s="38" t="str">
        <x:v>原始社区数据表</x:v>
      </x:c>
      <x:c r="Q90" s="2"/>
      <x:c r="R90" s="2"/>
      <x:c r="S90" s="2"/>
      <x:c r="T90" s="2"/>
      <x:c r="U90" s="2"/>
      <x:c r="V90" s="2"/>
    </x:row>
    <x:row r="91" ht="34" customHeight="1">
      <x:c r="A91" s="38" t="str">
        <x:v>C02-E033</x:v>
      </x:c>
      <x:c r="B91" s="38" t="str">
        <x:v>C02</x:v>
      </x:c>
      <x:c r="C91" s="38" t="str">
        <x:v>C02-R039</x:v>
      </x:c>
      <x:c r="D91" s="38" t="str">
        <x:v>C02-R035</x:v>
      </x:c>
      <x:c r="E91" s="55" t="n">
        <x:v>9.5</x:v>
      </x:c>
      <x:c r="F91" s="38" t="str">
        <x:v>是</x:v>
      </x:c>
      <x:c r="G91" s="38" t="str">
        <x:v>待核验</x:v>
      </x:c>
      <x:c r="H91" s="49" t="n">
        <x:v>3.5</x:v>
      </x:c>
      <x:c r="I91" s="49" t="n">
        <x:v>0.5</x:v>
      </x:c>
      <x:c r="J91" s="49" t="str">
        <x:v>待核验（可能设路桩、台阶）</x:v>
      </x:c>
      <x:c r="K91" s="49" t="n">
        <x:v>2.22</x:v>
      </x:c>
      <x:c r="L91" s="58" t="n">
        <x:f>IF(OR(E91="",K91="",K91=0),"n.a.",E91/K91)</x:f>
        <x:v>4.279279279279279</x:v>
      </x:c>
      <x:c r="M91" s="38" t="str">
        <x:v>06:00—23:00（推定）</x:v>
      </x:c>
      <x:c r="N91" s="59" t="n">
        <x:v>0.4</x:v>
      </x:c>
      <x:c r="O91" s="38" t="str">
        <x:v>OSM</x:v>
      </x:c>
      <x:c r="P91" s="38" t="str">
        <x:v>原始社区数据表</x:v>
      </x:c>
      <x:c r="Q91" s="2"/>
      <x:c r="R91" s="2"/>
      <x:c r="S91" s="2"/>
      <x:c r="T91" s="2"/>
      <x:c r="U91" s="2"/>
      <x:c r="V91" s="2"/>
    </x:row>
    <x:row r="92" ht="34" customHeight="1">
      <x:c r="A92" s="38" t="str">
        <x:v>C02-E034</x:v>
      </x:c>
      <x:c r="B92" s="38" t="str">
        <x:v>C02</x:v>
      </x:c>
      <x:c r="C92" s="38" t="str">
        <x:v>C02-R035</x:v>
      </x:c>
      <x:c r="D92" s="38" t="str">
        <x:v>C02-R033</x:v>
      </x:c>
      <x:c r="E92" s="55" t="n">
        <x:v>11.3</x:v>
      </x:c>
      <x:c r="F92" s="38" t="str">
        <x:v>是</x:v>
      </x:c>
      <x:c r="G92" s="38" t="str">
        <x:v>待核验</x:v>
      </x:c>
      <x:c r="H92" s="49" t="n">
        <x:v>3.5</x:v>
      </x:c>
      <x:c r="I92" s="49" t="n">
        <x:v>0.5</x:v>
      </x:c>
      <x:c r="J92" s="49" t="str">
        <x:v>待核验（可能设路桩、台阶）</x:v>
      </x:c>
      <x:c r="K92" s="49" t="n">
        <x:v>2.22</x:v>
      </x:c>
      <x:c r="L92" s="58" t="n">
        <x:f>IF(OR(E92="",K92="",K92=0),"n.a.",E92/K92)</x:f>
        <x:v>5.09009009009009</x:v>
      </x:c>
      <x:c r="M92" s="38" t="str">
        <x:v>06:00—23:00（推定）</x:v>
      </x:c>
      <x:c r="N92" s="59" t="n">
        <x:v>0.4</x:v>
      </x:c>
      <x:c r="O92" s="38" t="str">
        <x:v>OSM</x:v>
      </x:c>
      <x:c r="P92" s="38" t="str">
        <x:v>原始社区数据表</x:v>
      </x:c>
      <x:c r="Q92" s="2"/>
      <x:c r="R92" s="2"/>
      <x:c r="S92" s="2"/>
      <x:c r="T92" s="2"/>
      <x:c r="U92" s="2"/>
      <x:c r="V92" s="2"/>
    </x:row>
    <x:row r="93" ht="34" customHeight="1">
      <x:c r="A93" s="38" t="str">
        <x:v>C02-E035</x:v>
      </x:c>
      <x:c r="B93" s="38" t="str">
        <x:v>C02</x:v>
      </x:c>
      <x:c r="C93" s="38" t="str">
        <x:v>C02-R033</x:v>
      </x:c>
      <x:c r="D93" s="38" t="str">
        <x:v>C02-R034</x:v>
      </x:c>
      <x:c r="E93" s="55" t="n">
        <x:v>12.6</x:v>
      </x:c>
      <x:c r="F93" s="38" t="str">
        <x:v>是</x:v>
      </x:c>
      <x:c r="G93" s="38" t="str">
        <x:v>待核验</x:v>
      </x:c>
      <x:c r="H93" s="49" t="n">
        <x:v>3.5</x:v>
      </x:c>
      <x:c r="I93" s="49" t="n">
        <x:v>0.5</x:v>
      </x:c>
      <x:c r="J93" s="49" t="str">
        <x:v>待核验（可能设路桩、台阶）</x:v>
      </x:c>
      <x:c r="K93" s="49" t="n">
        <x:v>2.22</x:v>
      </x:c>
      <x:c r="L93" s="58" t="n">
        <x:f>IF(OR(E93="",K93="",K93=0),"n.a.",E93/K93)</x:f>
        <x:v>5.675675675675675</x:v>
      </x:c>
      <x:c r="M93" s="38" t="str">
        <x:v>06:00—23:00（推定）</x:v>
      </x:c>
      <x:c r="N93" s="59" t="n">
        <x:v>0.4</x:v>
      </x:c>
      <x:c r="O93" s="38" t="str">
        <x:v>OSM</x:v>
      </x:c>
      <x:c r="P93" s="38" t="str">
        <x:v>原始社区数据表</x:v>
      </x:c>
      <x:c r="Q93" s="2"/>
      <x:c r="R93" s="2"/>
      <x:c r="S93" s="2"/>
      <x:c r="T93" s="2"/>
      <x:c r="U93" s="2"/>
      <x:c r="V93" s="2"/>
    </x:row>
    <x:row r="94" ht="34" customHeight="1">
      <x:c r="A94" s="38" t="str">
        <x:v>C02-E036</x:v>
      </x:c>
      <x:c r="B94" s="38" t="str">
        <x:v>C02</x:v>
      </x:c>
      <x:c r="C94" s="38" t="str">
        <x:v>C02-R034</x:v>
      </x:c>
      <x:c r="D94" s="38" t="str">
        <x:v>C02-R032</x:v>
      </x:c>
      <x:c r="E94" s="55" t="n">
        <x:v>26</x:v>
      </x:c>
      <x:c r="F94" s="38" t="str">
        <x:v>是</x:v>
      </x:c>
      <x:c r="G94" s="38" t="str">
        <x:v>待核验</x:v>
      </x:c>
      <x:c r="H94" s="49" t="n">
        <x:v>3.5</x:v>
      </x:c>
      <x:c r="I94" s="49" t="n">
        <x:v>0.5</x:v>
      </x:c>
      <x:c r="J94" s="49" t="str">
        <x:v>待核验（可能设路桩、台阶）</x:v>
      </x:c>
      <x:c r="K94" s="49" t="n">
        <x:v>2.22</x:v>
      </x:c>
      <x:c r="L94" s="58" t="n">
        <x:f>IF(OR(E94="",K94="",K94=0),"n.a.",E94/K94)</x:f>
        <x:v>11.711711711711711</x:v>
      </x:c>
      <x:c r="M94" s="38" t="str">
        <x:v>06:00—23:00（推定）</x:v>
      </x:c>
      <x:c r="N94" s="59" t="n">
        <x:v>0.4</x:v>
      </x:c>
      <x:c r="O94" s="38" t="str">
        <x:v>OSM</x:v>
      </x:c>
      <x:c r="P94" s="38" t="str">
        <x:v>原始社区数据表</x:v>
      </x:c>
      <x:c r="Q94" s="2"/>
      <x:c r="R94" s="2"/>
      <x:c r="S94" s="2"/>
      <x:c r="T94" s="2"/>
      <x:c r="U94" s="2"/>
      <x:c r="V94" s="2"/>
    </x:row>
    <x:row r="95" ht="34" customHeight="1">
      <x:c r="A95" s="38" t="str">
        <x:v>C02-E037</x:v>
      </x:c>
      <x:c r="B95" s="38" t="str">
        <x:v>C02</x:v>
      </x:c>
      <x:c r="C95" s="38" t="str">
        <x:v>C02-R032</x:v>
      </x:c>
      <x:c r="D95" s="38" t="str">
        <x:v>C02-R030</x:v>
      </x:c>
      <x:c r="E95" s="55" t="n">
        <x:v>13</x:v>
      </x:c>
      <x:c r="F95" s="38" t="str">
        <x:v>是</x:v>
      </x:c>
      <x:c r="G95" s="38" t="str">
        <x:v>待核验</x:v>
      </x:c>
      <x:c r="H95" s="49" t="n">
        <x:v>3.5</x:v>
      </x:c>
      <x:c r="I95" s="49" t="n">
        <x:v>0.5</x:v>
      </x:c>
      <x:c r="J95" s="49" t="str">
        <x:v>待核验（可能设路桩、台阶）</x:v>
      </x:c>
      <x:c r="K95" s="49" t="n">
        <x:v>2.22</x:v>
      </x:c>
      <x:c r="L95" s="58" t="n">
        <x:f>IF(OR(E95="",K95="",K95=0),"n.a.",E95/K95)</x:f>
        <x:v>5.8558558558558556</x:v>
      </x:c>
      <x:c r="M95" s="38" t="str">
        <x:v>06:00—23:00（推定）</x:v>
      </x:c>
      <x:c r="N95" s="59" t="n">
        <x:v>0.4</x:v>
      </x:c>
      <x:c r="O95" s="38" t="str">
        <x:v>OSM</x:v>
      </x:c>
      <x:c r="P95" s="38" t="str">
        <x:v>原始社区数据表</x:v>
      </x:c>
      <x:c r="Q95" s="2"/>
      <x:c r="R95" s="2"/>
      <x:c r="S95" s="2"/>
      <x:c r="T95" s="2"/>
      <x:c r="U95" s="2"/>
      <x:c r="V95" s="2"/>
    </x:row>
    <x:row r="96" ht="34" customHeight="1">
      <x:c r="A96" s="38" t="str">
        <x:v>C02-E038</x:v>
      </x:c>
      <x:c r="B96" s="38" t="str">
        <x:v>C02</x:v>
      </x:c>
      <x:c r="C96" s="38" t="str">
        <x:v>C02-R030</x:v>
      </x:c>
      <x:c r="D96" s="38" t="str">
        <x:v>C02-R029</x:v>
      </x:c>
      <x:c r="E96" s="55" t="n">
        <x:v>16.2</x:v>
      </x:c>
      <x:c r="F96" s="38" t="str">
        <x:v>是</x:v>
      </x:c>
      <x:c r="G96" s="38" t="str">
        <x:v>待核验</x:v>
      </x:c>
      <x:c r="H96" s="49" t="n">
        <x:v>3.5</x:v>
      </x:c>
      <x:c r="I96" s="49" t="n">
        <x:v>0.5</x:v>
      </x:c>
      <x:c r="J96" s="49" t="str">
        <x:v>待核验（可能设路桩、台阶）</x:v>
      </x:c>
      <x:c r="K96" s="49" t="n">
        <x:v>2.22</x:v>
      </x:c>
      <x:c r="L96" s="58" t="n">
        <x:f>IF(OR(E96="",K96="",K96=0),"n.a.",E96/K96)</x:f>
        <x:v>7.2972972972972965</x:v>
      </x:c>
      <x:c r="M96" s="38" t="str">
        <x:v>06:00—23:00（推定）</x:v>
      </x:c>
      <x:c r="N96" s="59" t="n">
        <x:v>0.4</x:v>
      </x:c>
      <x:c r="O96" s="38" t="str">
        <x:v>OSM</x:v>
      </x:c>
      <x:c r="P96" s="38" t="str">
        <x:v>原始社区数据表</x:v>
      </x:c>
      <x:c r="Q96" s="2"/>
      <x:c r="R96" s="2"/>
      <x:c r="S96" s="2"/>
      <x:c r="T96" s="2"/>
      <x:c r="U96" s="2"/>
      <x:c r="V96" s="2"/>
    </x:row>
    <x:row r="97" ht="34" customHeight="1">
      <x:c r="A97" s="38" t="str">
        <x:v>C02-E039</x:v>
      </x:c>
      <x:c r="B97" s="38" t="str">
        <x:v>C02</x:v>
      </x:c>
      <x:c r="C97" s="38" t="str">
        <x:v>C02-R029</x:v>
      </x:c>
      <x:c r="D97" s="38" t="str">
        <x:v>C02-R031</x:v>
      </x:c>
      <x:c r="E97" s="55" t="n">
        <x:v>18.7</x:v>
      </x:c>
      <x:c r="F97" s="38" t="str">
        <x:v>是</x:v>
      </x:c>
      <x:c r="G97" s="38" t="str">
        <x:v>待核验</x:v>
      </x:c>
      <x:c r="H97" s="49" t="n">
        <x:v>3.5</x:v>
      </x:c>
      <x:c r="I97" s="49" t="n">
        <x:v>0.5</x:v>
      </x:c>
      <x:c r="J97" s="49" t="str">
        <x:v>待核验（可能设路桩、台阶）</x:v>
      </x:c>
      <x:c r="K97" s="49" t="n">
        <x:v>2.22</x:v>
      </x:c>
      <x:c r="L97" s="58" t="n">
        <x:f>IF(OR(E97="",K97="",K97=0),"n.a.",E97/K97)</x:f>
        <x:v>8.423423423423422</x:v>
      </x:c>
      <x:c r="M97" s="38" t="str">
        <x:v>06:00—23:00（推定）</x:v>
      </x:c>
      <x:c r="N97" s="59" t="n">
        <x:v>0.4</x:v>
      </x:c>
      <x:c r="O97" s="38" t="str">
        <x:v>OSM</x:v>
      </x:c>
      <x:c r="P97" s="38" t="str">
        <x:v>原始社区数据表</x:v>
      </x:c>
      <x:c r="Q97" s="2"/>
      <x:c r="R97" s="2"/>
      <x:c r="S97" s="2"/>
      <x:c r="T97" s="2"/>
      <x:c r="U97" s="2"/>
      <x:c r="V97" s="2"/>
    </x:row>
    <x:row r="98" ht="34" customHeight="1">
      <x:c r="A98" s="38" t="str">
        <x:v>C02-E040</x:v>
      </x:c>
      <x:c r="B98" s="38" t="str">
        <x:v>C02</x:v>
      </x:c>
      <x:c r="C98" s="38" t="str">
        <x:v>C02-R031</x:v>
      </x:c>
      <x:c r="D98" s="38" t="str">
        <x:v>C02-R036</x:v>
      </x:c>
      <x:c r="E98" s="55" t="n">
        <x:v>26.3</x:v>
      </x:c>
      <x:c r="F98" s="38" t="str">
        <x:v>是</x:v>
      </x:c>
      <x:c r="G98" s="38" t="str">
        <x:v>待核验</x:v>
      </x:c>
      <x:c r="H98" s="49" t="n">
        <x:v>3.5</x:v>
      </x:c>
      <x:c r="I98" s="49" t="n">
        <x:v>0.5</x:v>
      </x:c>
      <x:c r="J98" s="49" t="str">
        <x:v>待核验（可能设路桩、台阶）</x:v>
      </x:c>
      <x:c r="K98" s="49" t="n">
        <x:v>2.22</x:v>
      </x:c>
      <x:c r="L98" s="58" t="n">
        <x:f>IF(OR(E98="",K98="",K98=0),"n.a.",E98/K98)</x:f>
        <x:v>11.846846846846846</x:v>
      </x:c>
      <x:c r="M98" s="38" t="str">
        <x:v>06:00—23:00（推定）</x:v>
      </x:c>
      <x:c r="N98" s="59" t="n">
        <x:v>0.4</x:v>
      </x:c>
      <x:c r="O98" s="38" t="str">
        <x:v>OSM</x:v>
      </x:c>
      <x:c r="P98" s="38" t="str">
        <x:v>原始社区数据表</x:v>
      </x:c>
      <x:c r="Q98" s="2"/>
      <x:c r="R98" s="2"/>
      <x:c r="S98" s="2"/>
      <x:c r="T98" s="2"/>
      <x:c r="U98" s="2"/>
      <x:c r="V98" s="2"/>
    </x:row>
    <x:row r="99" ht="34" customHeight="1">
      <x:c r="A99" s="38" t="str">
        <x:v>C02-E041</x:v>
      </x:c>
      <x:c r="B99" s="38" t="str">
        <x:v>C02</x:v>
      </x:c>
      <x:c r="C99" s="38" t="str">
        <x:v>C02-R036</x:v>
      </x:c>
      <x:c r="D99" s="38" t="str">
        <x:v>C02-R040</x:v>
      </x:c>
      <x:c r="E99" s="55" t="n">
        <x:v>28.4</x:v>
      </x:c>
      <x:c r="F99" s="38" t="str">
        <x:v>是</x:v>
      </x:c>
      <x:c r="G99" s="38" t="str">
        <x:v>待核验</x:v>
      </x:c>
      <x:c r="H99" s="49" t="n">
        <x:v>3.5</x:v>
      </x:c>
      <x:c r="I99" s="49" t="n">
        <x:v>0.5</x:v>
      </x:c>
      <x:c r="J99" s="49" t="str">
        <x:v>待核验（可能设路桩、台阶）</x:v>
      </x:c>
      <x:c r="K99" s="49" t="n">
        <x:v>2.22</x:v>
      </x:c>
      <x:c r="L99" s="58" t="n">
        <x:f>IF(OR(E99="",K99="",K99=0),"n.a.",E99/K99)</x:f>
        <x:v>12.792792792792792</x:v>
      </x:c>
      <x:c r="M99" s="38" t="str">
        <x:v>06:00—23:00（推定）</x:v>
      </x:c>
      <x:c r="N99" s="59" t="n">
        <x:v>0.4</x:v>
      </x:c>
      <x:c r="O99" s="38" t="str">
        <x:v>OSM</x:v>
      </x:c>
      <x:c r="P99" s="38" t="str">
        <x:v>原始社区数据表</x:v>
      </x:c>
      <x:c r="Q99" s="2"/>
      <x:c r="R99" s="2"/>
      <x:c r="S99" s="2"/>
      <x:c r="T99" s="2"/>
      <x:c r="U99" s="2"/>
      <x:c r="V99" s="2"/>
    </x:row>
    <x:row r="100" ht="34" customHeight="1">
      <x:c r="A100" s="38" t="str">
        <x:v>C02-E042</x:v>
      </x:c>
      <x:c r="B100" s="38" t="str">
        <x:v>C02</x:v>
      </x:c>
      <x:c r="C100" s="38" t="str">
        <x:v>C02-R048</x:v>
      </x:c>
      <x:c r="D100" s="38" t="str">
        <x:v>C02-R051</x:v>
      </x:c>
      <x:c r="E100" s="55" t="n">
        <x:v>65.8</x:v>
      </x:c>
      <x:c r="F100" s="38" t="str">
        <x:v>是</x:v>
      </x:c>
      <x:c r="G100" s="38" t="str">
        <x:v>待核验</x:v>
      </x:c>
      <x:c r="H100" s="49" t="n">
        <x:v>3.5</x:v>
      </x:c>
      <x:c r="I100" s="49" t="n">
        <x:v>0.5</x:v>
      </x:c>
      <x:c r="J100" s="49" t="str">
        <x:v>待核验（可能设路桩、台阶）</x:v>
      </x:c>
      <x:c r="K100" s="49" t="n">
        <x:v>2.22</x:v>
      </x:c>
      <x:c r="L100" s="58" t="n">
        <x:f>IF(OR(E100="",K100="",K100=0),"n.a.",E100/K100)</x:f>
        <x:v>29.639639639639636</x:v>
      </x:c>
      <x:c r="M100" s="38" t="str">
        <x:v>06:00—23:00（推定）</x:v>
      </x:c>
      <x:c r="N100" s="59" t="n">
        <x:v>0.4</x:v>
      </x:c>
      <x:c r="O100" s="38" t="str">
        <x:v>OSM</x:v>
      </x:c>
      <x:c r="P100" s="38" t="str">
        <x:v>原始社区数据表</x:v>
      </x:c>
      <x:c r="Q100" s="2"/>
      <x:c r="R100" s="2"/>
      <x:c r="S100" s="2"/>
      <x:c r="T100" s="2"/>
      <x:c r="U100" s="2"/>
      <x:c r="V100" s="2"/>
    </x:row>
    <x:row r="101" ht="34" customHeight="1">
      <x:c r="A101" s="38" t="str">
        <x:v>C02-E043</x:v>
      </x:c>
      <x:c r="B101" s="38" t="str">
        <x:v>C02</x:v>
      </x:c>
      <x:c r="C101" s="38" t="str">
        <x:v>C02-R051</x:v>
      </x:c>
      <x:c r="D101" s="38" t="str">
        <x:v>C02-R053</x:v>
      </x:c>
      <x:c r="E101" s="55" t="n">
        <x:v>11.5</x:v>
      </x:c>
      <x:c r="F101" s="38" t="str">
        <x:v>是</x:v>
      </x:c>
      <x:c r="G101" s="38" t="str">
        <x:v>待核验</x:v>
      </x:c>
      <x:c r="H101" s="49" t="n">
        <x:v>3.5</x:v>
      </x:c>
      <x:c r="I101" s="49" t="n">
        <x:v>0.5</x:v>
      </x:c>
      <x:c r="J101" s="49" t="str">
        <x:v>待核验（可能设路桩、台阶）</x:v>
      </x:c>
      <x:c r="K101" s="49" t="n">
        <x:v>2.22</x:v>
      </x:c>
      <x:c r="L101" s="58" t="n">
        <x:f>IF(OR(E101="",K101="",K101=0),"n.a.",E101/K101)</x:f>
        <x:v>5.18018018018018</x:v>
      </x:c>
      <x:c r="M101" s="38" t="str">
        <x:v>06:00—23:00（推定）</x:v>
      </x:c>
      <x:c r="N101" s="59" t="n">
        <x:v>0.4</x:v>
      </x:c>
      <x:c r="O101" s="38" t="str">
        <x:v>OSM</x:v>
      </x:c>
      <x:c r="P101" s="38" t="str">
        <x:v>原始社区数据表</x:v>
      </x:c>
      <x:c r="Q101" s="2"/>
      <x:c r="R101" s="2"/>
      <x:c r="S101" s="2"/>
      <x:c r="T101" s="2"/>
      <x:c r="U101" s="2"/>
      <x:c r="V101" s="2"/>
    </x:row>
    <x:row r="102" ht="34" customHeight="1">
      <x:c r="A102" s="38" t="str">
        <x:v>C02-E044</x:v>
      </x:c>
      <x:c r="B102" s="38" t="str">
        <x:v>C02</x:v>
      </x:c>
      <x:c r="C102" s="38" t="str">
        <x:v>C02-R053</x:v>
      </x:c>
      <x:c r="D102" s="38" t="str">
        <x:v>C02-R054</x:v>
      </x:c>
      <x:c r="E102" s="55" t="n">
        <x:v>10.5</x:v>
      </x:c>
      <x:c r="F102" s="38" t="str">
        <x:v>是</x:v>
      </x:c>
      <x:c r="G102" s="38" t="str">
        <x:v>待核验</x:v>
      </x:c>
      <x:c r="H102" s="49" t="n">
        <x:v>3.5</x:v>
      </x:c>
      <x:c r="I102" s="49" t="n">
        <x:v>0.5</x:v>
      </x:c>
      <x:c r="J102" s="49" t="str">
        <x:v>待核验（可能设路桩、台阶）</x:v>
      </x:c>
      <x:c r="K102" s="49" t="n">
        <x:v>2.22</x:v>
      </x:c>
      <x:c r="L102" s="58" t="n">
        <x:f>IF(OR(E102="",K102="",K102=0),"n.a.",E102/K102)</x:f>
        <x:v>4.729729729729729</x:v>
      </x:c>
      <x:c r="M102" s="38" t="str">
        <x:v>06:00—23:00（推定）</x:v>
      </x:c>
      <x:c r="N102" s="59" t="n">
        <x:v>0.4</x:v>
      </x:c>
      <x:c r="O102" s="38" t="str">
        <x:v>OSM</x:v>
      </x:c>
      <x:c r="P102" s="38" t="str">
        <x:v>原始社区数据表</x:v>
      </x:c>
      <x:c r="Q102" s="2"/>
      <x:c r="R102" s="2"/>
      <x:c r="S102" s="2"/>
      <x:c r="T102" s="2"/>
      <x:c r="U102" s="2"/>
      <x:c r="V102" s="2"/>
    </x:row>
    <x:row r="103" ht="34" customHeight="1">
      <x:c r="A103" s="38" t="str">
        <x:v>C02-E045</x:v>
      </x:c>
      <x:c r="B103" s="38" t="str">
        <x:v>C02</x:v>
      </x:c>
      <x:c r="C103" s="38" t="str">
        <x:v>C02-R054</x:v>
      </x:c>
      <x:c r="D103" s="38" t="str">
        <x:v>C02-R055</x:v>
      </x:c>
      <x:c r="E103" s="55" t="n">
        <x:v>10.5</x:v>
      </x:c>
      <x:c r="F103" s="38" t="str">
        <x:v>是</x:v>
      </x:c>
      <x:c r="G103" s="38" t="str">
        <x:v>待核验</x:v>
      </x:c>
      <x:c r="H103" s="49" t="n">
        <x:v>3.5</x:v>
      </x:c>
      <x:c r="I103" s="49" t="n">
        <x:v>0.5</x:v>
      </x:c>
      <x:c r="J103" s="49" t="str">
        <x:v>待核验（可能设路桩、台阶）</x:v>
      </x:c>
      <x:c r="K103" s="49" t="n">
        <x:v>2.22</x:v>
      </x:c>
      <x:c r="L103" s="58" t="n">
        <x:f>IF(OR(E103="",K103="",K103=0),"n.a.",E103/K103)</x:f>
        <x:v>4.729729729729729</x:v>
      </x:c>
      <x:c r="M103" s="38" t="str">
        <x:v>06:00—23:00（推定）</x:v>
      </x:c>
      <x:c r="N103" s="59" t="n">
        <x:v>0.4</x:v>
      </x:c>
      <x:c r="O103" s="38" t="str">
        <x:v>OSM</x:v>
      </x:c>
      <x:c r="P103" s="38" t="str">
        <x:v>原始社区数据表</x:v>
      </x:c>
      <x:c r="Q103" s="2"/>
      <x:c r="R103" s="2"/>
      <x:c r="S103" s="2"/>
      <x:c r="T103" s="2"/>
      <x:c r="U103" s="2"/>
      <x:c r="V103" s="2"/>
    </x:row>
    <x:row r="104" ht="34" customHeight="1">
      <x:c r="A104" s="38" t="str">
        <x:v>C02-E046</x:v>
      </x:c>
      <x:c r="B104" s="38" t="str">
        <x:v>C02</x:v>
      </x:c>
      <x:c r="C104" s="38" t="str">
        <x:v>C02-R055</x:v>
      </x:c>
      <x:c r="D104" s="38" t="str">
        <x:v>C02-R059</x:v>
      </x:c>
      <x:c r="E104" s="55" t="n">
        <x:v>22.2</x:v>
      </x:c>
      <x:c r="F104" s="38" t="str">
        <x:v>是</x:v>
      </x:c>
      <x:c r="G104" s="38" t="str">
        <x:v>待核验</x:v>
      </x:c>
      <x:c r="H104" s="49" t="n">
        <x:v>3.5</x:v>
      </x:c>
      <x:c r="I104" s="49" t="n">
        <x:v>0.5</x:v>
      </x:c>
      <x:c r="J104" s="49" t="str">
        <x:v>待核验（可能设路桩、台阶）</x:v>
      </x:c>
      <x:c r="K104" s="49" t="n">
        <x:v>2.22</x:v>
      </x:c>
      <x:c r="L104" s="58" t="n">
        <x:f>IF(OR(E104="",K104="",K104=0),"n.a.",E104/K104)</x:f>
        <x:v>9.999999999999998</x:v>
      </x:c>
      <x:c r="M104" s="38" t="str">
        <x:v>06:00—23:00（推定）</x:v>
      </x:c>
      <x:c r="N104" s="59" t="n">
        <x:v>0.4</x:v>
      </x:c>
      <x:c r="O104" s="38" t="str">
        <x:v>OSM</x:v>
      </x:c>
      <x:c r="P104" s="38" t="str">
        <x:v>原始社区数据表</x:v>
      </x:c>
      <x:c r="Q104" s="2"/>
      <x:c r="R104" s="2"/>
      <x:c r="S104" s="2"/>
      <x:c r="T104" s="2"/>
      <x:c r="U104" s="2"/>
      <x:c r="V104" s="2"/>
    </x:row>
    <x:row r="105" ht="34" customHeight="1">
      <x:c r="A105" s="38" t="str">
        <x:v>C02-E047</x:v>
      </x:c>
      <x:c r="B105" s="38" t="str">
        <x:v>C02</x:v>
      </x:c>
      <x:c r="C105" s="38" t="str">
        <x:v>C02-R059</x:v>
      </x:c>
      <x:c r="D105" s="38" t="str">
        <x:v>C02-R062</x:v>
      </x:c>
      <x:c r="E105" s="55" t="n">
        <x:v>25.7</x:v>
      </x:c>
      <x:c r="F105" s="38" t="str">
        <x:v>是</x:v>
      </x:c>
      <x:c r="G105" s="38" t="str">
        <x:v>待核验</x:v>
      </x:c>
      <x:c r="H105" s="49" t="n">
        <x:v>3.5</x:v>
      </x:c>
      <x:c r="I105" s="49" t="n">
        <x:v>0.5</x:v>
      </x:c>
      <x:c r="J105" s="49" t="str">
        <x:v>待核验（可能设路桩、台阶）</x:v>
      </x:c>
      <x:c r="K105" s="49" t="n">
        <x:v>2.22</x:v>
      </x:c>
      <x:c r="L105" s="58" t="n">
        <x:f>IF(OR(E105="",K105="",K105=0),"n.a.",E105/K105)</x:f>
        <x:v>11.576576576576576</x:v>
      </x:c>
      <x:c r="M105" s="38" t="str">
        <x:v>06:00—23:00（推定）</x:v>
      </x:c>
      <x:c r="N105" s="59" t="n">
        <x:v>0.4</x:v>
      </x:c>
      <x:c r="O105" s="38" t="str">
        <x:v>OSM</x:v>
      </x:c>
      <x:c r="P105" s="38" t="str">
        <x:v>原始社区数据表</x:v>
      </x:c>
      <x:c r="Q105" s="2"/>
      <x:c r="R105" s="2"/>
      <x:c r="S105" s="2"/>
      <x:c r="T105" s="2"/>
      <x:c r="U105" s="2"/>
      <x:c r="V105" s="2"/>
    </x:row>
    <x:row r="106" ht="34" customHeight="1">
      <x:c r="A106" s="38" t="str">
        <x:v>C02-E048</x:v>
      </x:c>
      <x:c r="B106" s="38" t="str">
        <x:v>C02</x:v>
      </x:c>
      <x:c r="C106" s="38" t="str">
        <x:v>C02-R039</x:v>
      </x:c>
      <x:c r="D106" s="38" t="str">
        <x:v>C02-R028</x:v>
      </x:c>
      <x:c r="E106" s="55" t="n">
        <x:v>63.1</x:v>
      </x:c>
      <x:c r="F106" s="38" t="str">
        <x:v>否</x:v>
      </x:c>
      <x:c r="G106" s="38" t="str">
        <x:v>待核验</x:v>
      </x:c>
      <x:c r="H106" s="49" t="n">
        <x:v>3.5</x:v>
      </x:c>
      <x:c r="I106" s="49" t="n">
        <x:v>0.5</x:v>
      </x:c>
      <x:c r="J106" s="49" t="str">
        <x:v>待核验（可能设路桩、台阶）</x:v>
      </x:c>
      <x:c r="K106" s="49" t="n">
        <x:v>2.22</x:v>
      </x:c>
      <x:c r="L106" s="58" t="n">
        <x:f>IF(OR(E106="",K106="",K106=0),"n.a.",E106/K106)</x:f>
        <x:v>28.423423423423422</x:v>
      </x:c>
      <x:c r="M106" s="38" t="str">
        <x:v>06:00—23:00（推定）</x:v>
      </x:c>
      <x:c r="N106" s="59" t="n">
        <x:v>0.4</x:v>
      </x:c>
      <x:c r="O106" s="38" t="str">
        <x:v>OSM</x:v>
      </x:c>
      <x:c r="P106" s="38" t="str">
        <x:v>原始社区数据表</x:v>
      </x:c>
      <x:c r="Q106" s="2"/>
      <x:c r="R106" s="2"/>
      <x:c r="S106" s="2"/>
      <x:c r="T106" s="2"/>
      <x:c r="U106" s="2"/>
      <x:c r="V106" s="2"/>
    </x:row>
    <x:row r="107" ht="34" customHeight="1">
      <x:c r="A107" s="38" t="str">
        <x:v>C02-E049</x:v>
      </x:c>
      <x:c r="B107" s="38" t="str">
        <x:v>C02</x:v>
      </x:c>
      <x:c r="C107" s="38" t="str">
        <x:v>C02-R027</x:v>
      </x:c>
      <x:c r="D107" s="38" t="str">
        <x:v>C02-R035</x:v>
      </x:c>
      <x:c r="E107" s="55" t="n">
        <x:v>63.6</x:v>
      </x:c>
      <x:c r="F107" s="38" t="str">
        <x:v>否</x:v>
      </x:c>
      <x:c r="G107" s="38" t="str">
        <x:v>待核验</x:v>
      </x:c>
      <x:c r="H107" s="49" t="n">
        <x:v>3.5</x:v>
      </x:c>
      <x:c r="I107" s="49" t="n">
        <x:v>0.5</x:v>
      </x:c>
      <x:c r="J107" s="49" t="str">
        <x:v>待核验（可能设路桩、台阶）</x:v>
      </x:c>
      <x:c r="K107" s="49" t="n">
        <x:v>2.22</x:v>
      </x:c>
      <x:c r="L107" s="58" t="n">
        <x:f>IF(OR(E107="",K107="",K107=0),"n.a.",E107/K107)</x:f>
        <x:v>28.648648648648646</x:v>
      </x:c>
      <x:c r="M107" s="38" t="str">
        <x:v>06:00—23:00（推定）</x:v>
      </x:c>
      <x:c r="N107" s="59" t="n">
        <x:v>0.4</x:v>
      </x:c>
      <x:c r="O107" s="38" t="str">
        <x:v>OSM</x:v>
      </x:c>
      <x:c r="P107" s="38" t="str">
        <x:v>原始社区数据表</x:v>
      </x:c>
      <x:c r="Q107" s="2"/>
      <x:c r="R107" s="2"/>
      <x:c r="S107" s="2"/>
      <x:c r="T107" s="2"/>
      <x:c r="U107" s="2"/>
      <x:c r="V107" s="2"/>
    </x:row>
    <x:row r="108" ht="34" customHeight="1">
      <x:c r="A108" s="38" t="str">
        <x:v>C02-E050</x:v>
      </x:c>
      <x:c r="B108" s="38" t="str">
        <x:v>C02</x:v>
      </x:c>
      <x:c r="C108" s="38" t="str">
        <x:v>C02-R043</x:v>
      </x:c>
      <x:c r="D108" s="38" t="str">
        <x:v>C02-R045</x:v>
      </x:c>
      <x:c r="E108" s="55" t="n">
        <x:v>40.8</x:v>
      </x:c>
      <x:c r="F108" s="38" t="str">
        <x:v>是</x:v>
      </x:c>
      <x:c r="G108" s="38" t="str">
        <x:v>待核验</x:v>
      </x:c>
      <x:c r="H108" s="49" t="n">
        <x:v>3.5</x:v>
      </x:c>
      <x:c r="I108" s="49" t="n">
        <x:v>0.5</x:v>
      </x:c>
      <x:c r="J108" s="49" t="str">
        <x:v>待核验（可能设路桩、台阶）</x:v>
      </x:c>
      <x:c r="K108" s="49" t="n">
        <x:v>2.22</x:v>
      </x:c>
      <x:c r="L108" s="58" t="n">
        <x:f>IF(OR(E108="",K108="",K108=0),"n.a.",E108/K108)</x:f>
        <x:v>18.378378378378375</x:v>
      </x:c>
      <x:c r="M108" s="38" t="str">
        <x:v>06:00—23:00（推定）</x:v>
      </x:c>
      <x:c r="N108" s="59" t="n">
        <x:v>0.4</x:v>
      </x:c>
      <x:c r="O108" s="38" t="str">
        <x:v>OSM</x:v>
      </x:c>
      <x:c r="P108" s="38" t="str">
        <x:v>原始社区数据表</x:v>
      </x:c>
      <x:c r="Q108" s="2"/>
      <x:c r="R108" s="2"/>
      <x:c r="S108" s="2"/>
      <x:c r="T108" s="2"/>
      <x:c r="U108" s="2"/>
      <x:c r="V108" s="2"/>
    </x:row>
    <x:row r="109" ht="34" customHeight="1">
      <x:c r="A109" s="38" t="str">
        <x:v>C02-E051</x:v>
      </x:c>
      <x:c r="B109" s="38" t="str">
        <x:v>C02</x:v>
      </x:c>
      <x:c r="C109" s="38" t="str">
        <x:v>C02-R007</x:v>
      </x:c>
      <x:c r="D109" s="38" t="str">
        <x:v>C02-R008</x:v>
      </x:c>
      <x:c r="E109" s="55" t="n">
        <x:v>15.4</x:v>
      </x:c>
      <x:c r="F109" s="38" t="str">
        <x:v>是</x:v>
      </x:c>
      <x:c r="G109" s="38" t="str">
        <x:v>待核验</x:v>
      </x:c>
      <x:c r="H109" s="49" t="n">
        <x:v>3.5</x:v>
      </x:c>
      <x:c r="I109" s="49" t="n">
        <x:v>0.5</x:v>
      </x:c>
      <x:c r="J109" s="49" t="str">
        <x:v>待核验（可能设路桩、台阶）</x:v>
      </x:c>
      <x:c r="K109" s="49" t="n">
        <x:v>2.22</x:v>
      </x:c>
      <x:c r="L109" s="58" t="n">
        <x:f>IF(OR(E109="",K109="",K109=0),"n.a.",E109/K109)</x:f>
        <x:v>6.936936936936936</x:v>
      </x:c>
      <x:c r="M109" s="38" t="str">
        <x:v>06:00—23:00（推定）</x:v>
      </x:c>
      <x:c r="N109" s="59" t="n">
        <x:v>0.4</x:v>
      </x:c>
      <x:c r="O109" s="38" t="str">
        <x:v>OSM</x:v>
      </x:c>
      <x:c r="P109" s="38" t="str">
        <x:v>原始社区数据表</x:v>
      </x:c>
      <x:c r="Q109" s="2"/>
      <x:c r="R109" s="2"/>
      <x:c r="S109" s="2"/>
      <x:c r="T109" s="2"/>
      <x:c r="U109" s="2"/>
      <x:c r="V109" s="2"/>
    </x:row>
    <x:row r="110" ht="34" customHeight="1">
      <x:c r="A110" s="38" t="str">
        <x:v>C02-E052</x:v>
      </x:c>
      <x:c r="B110" s="38" t="str">
        <x:v>C02</x:v>
      </x:c>
      <x:c r="C110" s="38" t="str">
        <x:v>C02-R008</x:v>
      </x:c>
      <x:c r="D110" s="38" t="str">
        <x:v>C02-R012</x:v>
      </x:c>
      <x:c r="E110" s="55" t="n">
        <x:v>41.5</x:v>
      </x:c>
      <x:c r="F110" s="38" t="str">
        <x:v>是</x:v>
      </x:c>
      <x:c r="G110" s="38" t="str">
        <x:v>待核验</x:v>
      </x:c>
      <x:c r="H110" s="49" t="n">
        <x:v>3.5</x:v>
      </x:c>
      <x:c r="I110" s="49" t="n">
        <x:v>0.5</x:v>
      </x:c>
      <x:c r="J110" s="49" t="str">
        <x:v>待核验（可能设路桩、台阶）</x:v>
      </x:c>
      <x:c r="K110" s="49" t="n">
        <x:v>2.22</x:v>
      </x:c>
      <x:c r="L110" s="58" t="n">
        <x:f>IF(OR(E110="",K110="",K110=0),"n.a.",E110/K110)</x:f>
        <x:v>18.693693693693692</x:v>
      </x:c>
      <x:c r="M110" s="38" t="str">
        <x:v>06:00—23:00（推定）</x:v>
      </x:c>
      <x:c r="N110" s="59" t="n">
        <x:v>0.4</x:v>
      </x:c>
      <x:c r="O110" s="38" t="str">
        <x:v>OSM</x:v>
      </x:c>
      <x:c r="P110" s="38" t="str">
        <x:v>原始社区数据表</x:v>
      </x:c>
      <x:c r="Q110" s="2"/>
      <x:c r="R110" s="2"/>
      <x:c r="S110" s="2"/>
      <x:c r="T110" s="2"/>
      <x:c r="U110" s="2"/>
      <x:c r="V110" s="2"/>
    </x:row>
    <x:row r="111" ht="34" customHeight="1">
      <x:c r="A111" s="38" t="str">
        <x:v>C02-E053</x:v>
      </x:c>
      <x:c r="B111" s="38" t="str">
        <x:v>C02</x:v>
      </x:c>
      <x:c r="C111" s="38" t="str">
        <x:v>C02-R012</x:v>
      </x:c>
      <x:c r="D111" s="38" t="str">
        <x:v>C02-R017</x:v>
      </x:c>
      <x:c r="E111" s="55" t="n">
        <x:v>62.7</x:v>
      </x:c>
      <x:c r="F111" s="38" t="str">
        <x:v>是</x:v>
      </x:c>
      <x:c r="G111" s="38" t="str">
        <x:v>待核验</x:v>
      </x:c>
      <x:c r="H111" s="49" t="n">
        <x:v>3.5</x:v>
      </x:c>
      <x:c r="I111" s="49" t="n">
        <x:v>0.5</x:v>
      </x:c>
      <x:c r="J111" s="49" t="str">
        <x:v>待核验（可能设路桩、台阶）</x:v>
      </x:c>
      <x:c r="K111" s="49" t="n">
        <x:v>2.22</x:v>
      </x:c>
      <x:c r="L111" s="58" t="n">
        <x:f>IF(OR(E111="",K111="",K111=0),"n.a.",E111/K111)</x:f>
        <x:v>28.243243243243242</x:v>
      </x:c>
      <x:c r="M111" s="38" t="str">
        <x:v>06:00—23:00（推定）</x:v>
      </x:c>
      <x:c r="N111" s="59" t="n">
        <x:v>0.4</x:v>
      </x:c>
      <x:c r="O111" s="38" t="str">
        <x:v>OSM</x:v>
      </x:c>
      <x:c r="P111" s="38" t="str">
        <x:v>原始社区数据表</x:v>
      </x:c>
      <x:c r="Q111" s="2"/>
      <x:c r="R111" s="2"/>
      <x:c r="S111" s="2"/>
      <x:c r="T111" s="2"/>
      <x:c r="U111" s="2"/>
      <x:c r="V111" s="2"/>
    </x:row>
    <x:row r="112" ht="34" customHeight="1">
      <x:c r="A112" s="38" t="str">
        <x:v>C02-E054</x:v>
      </x:c>
      <x:c r="B112" s="38" t="str">
        <x:v>C02</x:v>
      </x:c>
      <x:c r="C112" s="38" t="str">
        <x:v>C02-R017</x:v>
      </x:c>
      <x:c r="D112" s="38" t="str">
        <x:v>C02-R018</x:v>
      </x:c>
      <x:c r="E112" s="55" t="n">
        <x:v>29.6</x:v>
      </x:c>
      <x:c r="F112" s="38" t="str">
        <x:v>是</x:v>
      </x:c>
      <x:c r="G112" s="38" t="str">
        <x:v>待核验</x:v>
      </x:c>
      <x:c r="H112" s="49" t="n">
        <x:v>3.5</x:v>
      </x:c>
      <x:c r="I112" s="49" t="n">
        <x:v>0.5</x:v>
      </x:c>
      <x:c r="J112" s="49" t="str">
        <x:v>待核验（可能设路桩、台阶）</x:v>
      </x:c>
      <x:c r="K112" s="49" t="n">
        <x:v>2.22</x:v>
      </x:c>
      <x:c r="L112" s="58" t="n">
        <x:f>IF(OR(E112="",K112="",K112=0),"n.a.",E112/K112)</x:f>
        <x:v>13.333333333333332</x:v>
      </x:c>
      <x:c r="M112" s="38" t="str">
        <x:v>06:00—23:00（推定）</x:v>
      </x:c>
      <x:c r="N112" s="59" t="n">
        <x:v>0.4</x:v>
      </x:c>
      <x:c r="O112" s="38" t="str">
        <x:v>OSM</x:v>
      </x:c>
      <x:c r="P112" s="38" t="str">
        <x:v>原始社区数据表</x:v>
      </x:c>
      <x:c r="Q112" s="2"/>
      <x:c r="R112" s="2"/>
      <x:c r="S112" s="2"/>
      <x:c r="T112" s="2"/>
      <x:c r="U112" s="2"/>
      <x:c r="V112" s="2"/>
    </x:row>
    <x:row r="113" ht="34" customHeight="1">
      <x:c r="A113" s="38" t="str">
        <x:v>C02-E055</x:v>
      </x:c>
      <x:c r="B113" s="38" t="str">
        <x:v>C02</x:v>
      </x:c>
      <x:c r="C113" s="38" t="str">
        <x:v>C02-R018</x:v>
      </x:c>
      <x:c r="D113" s="38" t="str">
        <x:v>C02-R020</x:v>
      </x:c>
      <x:c r="E113" s="55" t="n">
        <x:v>6.1</x:v>
      </x:c>
      <x:c r="F113" s="38" t="str">
        <x:v>是</x:v>
      </x:c>
      <x:c r="G113" s="38" t="str">
        <x:v>待核验</x:v>
      </x:c>
      <x:c r="H113" s="49" t="n">
        <x:v>3.5</x:v>
      </x:c>
      <x:c r="I113" s="49" t="n">
        <x:v>0.5</x:v>
      </x:c>
      <x:c r="J113" s="49" t="str">
        <x:v>待核验（可能设路桩、台阶）</x:v>
      </x:c>
      <x:c r="K113" s="49" t="n">
        <x:v>2.22</x:v>
      </x:c>
      <x:c r="L113" s="58" t="n">
        <x:f>IF(OR(E113="",K113="",K113=0),"n.a.",E113/K113)</x:f>
        <x:v>2.747747747747747</x:v>
      </x:c>
      <x:c r="M113" s="38" t="str">
        <x:v>06:00—23:00（推定）</x:v>
      </x:c>
      <x:c r="N113" s="59" t="n">
        <x:v>0.4</x:v>
      </x:c>
      <x:c r="O113" s="38" t="str">
        <x:v>OSM</x:v>
      </x:c>
      <x:c r="P113" s="38" t="str">
        <x:v>原始社区数据表</x:v>
      </x:c>
      <x:c r="Q113" s="2"/>
      <x:c r="R113" s="2"/>
      <x:c r="S113" s="2"/>
      <x:c r="T113" s="2"/>
      <x:c r="U113" s="2"/>
      <x:c r="V113" s="2"/>
    </x:row>
    <x:row r="114" ht="34" customHeight="1">
      <x:c r="A114" s="38" t="str">
        <x:v>C02-E056</x:v>
      </x:c>
      <x:c r="B114" s="38" t="str">
        <x:v>C02</x:v>
      </x:c>
      <x:c r="C114" s="38" t="str">
        <x:v>C02-R020</x:v>
      </x:c>
      <x:c r="D114" s="38" t="str">
        <x:v>C02-R021</x:v>
      </x:c>
      <x:c r="E114" s="55" t="n">
        <x:v>25.8</x:v>
      </x:c>
      <x:c r="F114" s="38" t="str">
        <x:v>是</x:v>
      </x:c>
      <x:c r="G114" s="38" t="str">
        <x:v>待核验</x:v>
      </x:c>
      <x:c r="H114" s="49" t="n">
        <x:v>3.5</x:v>
      </x:c>
      <x:c r="I114" s="49" t="n">
        <x:v>0.5</x:v>
      </x:c>
      <x:c r="J114" s="49" t="str">
        <x:v>待核验（可能设路桩、台阶）</x:v>
      </x:c>
      <x:c r="K114" s="49" t="n">
        <x:v>2.22</x:v>
      </x:c>
      <x:c r="L114" s="58" t="n">
        <x:f>IF(OR(E114="",K114="",K114=0),"n.a.",E114/K114)</x:f>
        <x:v>11.621621621621621</x:v>
      </x:c>
      <x:c r="M114" s="38" t="str">
        <x:v>06:00—23:00（推定）</x:v>
      </x:c>
      <x:c r="N114" s="59" t="n">
        <x:v>0.4</x:v>
      </x:c>
      <x:c r="O114" s="38" t="str">
        <x:v>OSM</x:v>
      </x:c>
      <x:c r="P114" s="38" t="str">
        <x:v>原始社区数据表</x:v>
      </x:c>
      <x:c r="Q114" s="2"/>
      <x:c r="R114" s="2"/>
      <x:c r="S114" s="2"/>
      <x:c r="T114" s="2"/>
      <x:c r="U114" s="2"/>
      <x:c r="V114" s="2"/>
    </x:row>
    <x:row r="115" ht="34" customHeight="1">
      <x:c r="A115" s="38" t="str">
        <x:v>C02-E057</x:v>
      </x:c>
      <x:c r="B115" s="38" t="str">
        <x:v>C02</x:v>
      </x:c>
      <x:c r="C115" s="38" t="str">
        <x:v>C02-R012</x:v>
      </x:c>
      <x:c r="D115" s="38" t="str">
        <x:v>C02-R016</x:v>
      </x:c>
      <x:c r="E115" s="55" t="n">
        <x:v>89.9</x:v>
      </x:c>
      <x:c r="F115" s="38" t="str">
        <x:v>是</x:v>
      </x:c>
      <x:c r="G115" s="38" t="str">
        <x:v>待核验</x:v>
      </x:c>
      <x:c r="H115" s="49" t="n">
        <x:v>3.5</x:v>
      </x:c>
      <x:c r="I115" s="49" t="n">
        <x:v>0.5</x:v>
      </x:c>
      <x:c r="J115" s="49" t="str">
        <x:v>待核验（可能设路桩、台阶）</x:v>
      </x:c>
      <x:c r="K115" s="49" t="n">
        <x:v>2.22</x:v>
      </x:c>
      <x:c r="L115" s="58" t="n">
        <x:f>IF(OR(E115="",K115="",K115=0),"n.a.",E115/K115)</x:f>
        <x:v>40.4954954954955</x:v>
      </x:c>
      <x:c r="M115" s="38" t="str">
        <x:v>06:00—23:00（推定）</x:v>
      </x:c>
      <x:c r="N115" s="59" t="n">
        <x:v>0.4</x:v>
      </x:c>
      <x:c r="O115" s="38" t="str">
        <x:v>OSM</x:v>
      </x:c>
      <x:c r="P115" s="38" t="str">
        <x:v>原始社区数据表</x:v>
      </x:c>
      <x:c r="Q115" s="2"/>
      <x:c r="R115" s="2"/>
      <x:c r="S115" s="2"/>
      <x:c r="T115" s="2"/>
      <x:c r="U115" s="2"/>
      <x:c r="V115" s="2"/>
    </x:row>
    <x:row r="116" ht="34" customHeight="1">
      <x:c r="A116" s="38" t="str">
        <x:v>C02-E058</x:v>
      </x:c>
      <x:c r="B116" s="38" t="str">
        <x:v>C02</x:v>
      </x:c>
      <x:c r="C116" s="38" t="str">
        <x:v>C02-R016</x:v>
      </x:c>
      <x:c r="D116" s="38" t="str">
        <x:v>C02-R019</x:v>
      </x:c>
      <x:c r="E116" s="55" t="n">
        <x:v>17.4</x:v>
      </x:c>
      <x:c r="F116" s="38" t="str">
        <x:v>是</x:v>
      </x:c>
      <x:c r="G116" s="38" t="str">
        <x:v>待核验</x:v>
      </x:c>
      <x:c r="H116" s="49" t="n">
        <x:v>3.5</x:v>
      </x:c>
      <x:c r="I116" s="49" t="n">
        <x:v>0.5</x:v>
      </x:c>
      <x:c r="J116" s="49" t="str">
        <x:v>待核验（可能设路桩、台阶）</x:v>
      </x:c>
      <x:c r="K116" s="49" t="n">
        <x:v>2.22</x:v>
      </x:c>
      <x:c r="L116" s="58" t="n">
        <x:f>IF(OR(E116="",K116="",K116=0),"n.a.",E116/K116)</x:f>
        <x:v>7.837837837837837</x:v>
      </x:c>
      <x:c r="M116" s="38" t="str">
        <x:v>06:00—23:00（推定）</x:v>
      </x:c>
      <x:c r="N116" s="59" t="n">
        <x:v>0.4</x:v>
      </x:c>
      <x:c r="O116" s="38" t="str">
        <x:v>OSM</x:v>
      </x:c>
      <x:c r="P116" s="38" t="str">
        <x:v>原始社区数据表</x:v>
      </x:c>
      <x:c r="Q116" s="2"/>
      <x:c r="R116" s="2"/>
      <x:c r="S116" s="2"/>
      <x:c r="T116" s="2"/>
      <x:c r="U116" s="2"/>
      <x:c r="V116" s="2"/>
    </x:row>
    <x:row r="117" ht="34" customHeight="1">
      <x:c r="A117" s="38" t="str">
        <x:v>C02-E059</x:v>
      </x:c>
      <x:c r="B117" s="38" t="str">
        <x:v>C02</x:v>
      </x:c>
      <x:c r="C117" s="38" t="str">
        <x:v>C02-R019</x:v>
      </x:c>
      <x:c r="D117" s="38" t="str">
        <x:v>C02-R022</x:v>
      </x:c>
      <x:c r="E117" s="55" t="n">
        <x:v>13.2</x:v>
      </x:c>
      <x:c r="F117" s="38" t="str">
        <x:v>是</x:v>
      </x:c>
      <x:c r="G117" s="38" t="str">
        <x:v>待核验</x:v>
      </x:c>
      <x:c r="H117" s="49" t="n">
        <x:v>3.5</x:v>
      </x:c>
      <x:c r="I117" s="49" t="n">
        <x:v>0.5</x:v>
      </x:c>
      <x:c r="J117" s="49" t="str">
        <x:v>待核验（可能设路桩、台阶）</x:v>
      </x:c>
      <x:c r="K117" s="49" t="n">
        <x:v>2.22</x:v>
      </x:c>
      <x:c r="L117" s="58" t="n">
        <x:f>IF(OR(E117="",K117="",K117=0),"n.a.",E117/K117)</x:f>
        <x:v>5.945945945945945</x:v>
      </x:c>
      <x:c r="M117" s="38" t="str">
        <x:v>06:00—23:00（推定）</x:v>
      </x:c>
      <x:c r="N117" s="59" t="n">
        <x:v>0.4</x:v>
      </x:c>
      <x:c r="O117" s="38" t="str">
        <x:v>OSM</x:v>
      </x:c>
      <x:c r="P117" s="38" t="str">
        <x:v>原始社区数据表</x:v>
      </x:c>
      <x:c r="Q117" s="2"/>
      <x:c r="R117" s="2"/>
      <x:c r="S117" s="2"/>
      <x:c r="T117" s="2"/>
      <x:c r="U117" s="2"/>
      <x:c r="V117" s="2"/>
    </x:row>
    <x:row r="118" ht="34" customHeight="1">
      <x:c r="A118" s="38" t="str">
        <x:v>C02-E060</x:v>
      </x:c>
      <x:c r="B118" s="38" t="str">
        <x:v>C02</x:v>
      </x:c>
      <x:c r="C118" s="38" t="str">
        <x:v>C02-R022</x:v>
      </x:c>
      <x:c r="D118" s="38" t="str">
        <x:v>C02-R023</x:v>
      </x:c>
      <x:c r="E118" s="55" t="n">
        <x:v>13.7</x:v>
      </x:c>
      <x:c r="F118" s="38" t="str">
        <x:v>是</x:v>
      </x:c>
      <x:c r="G118" s="38" t="str">
        <x:v>待核验</x:v>
      </x:c>
      <x:c r="H118" s="49" t="n">
        <x:v>3.5</x:v>
      </x:c>
      <x:c r="I118" s="49" t="n">
        <x:v>0.5</x:v>
      </x:c>
      <x:c r="J118" s="49" t="str">
        <x:v>待核验（可能设路桩、台阶）</x:v>
      </x:c>
      <x:c r="K118" s="49" t="n">
        <x:v>2.22</x:v>
      </x:c>
      <x:c r="L118" s="58" t="n">
        <x:f>IF(OR(E118="",K118="",K118=0),"n.a.",E118/K118)</x:f>
        <x:v>6.17117117117117</x:v>
      </x:c>
      <x:c r="M118" s="38" t="str">
        <x:v>06:00—23:00（推定）</x:v>
      </x:c>
      <x:c r="N118" s="59" t="n">
        <x:v>0.4</x:v>
      </x:c>
      <x:c r="O118" s="38" t="str">
        <x:v>OSM</x:v>
      </x:c>
      <x:c r="P118" s="38" t="str">
        <x:v>原始社区数据表</x:v>
      </x:c>
      <x:c r="Q118" s="2"/>
      <x:c r="R118" s="2"/>
      <x:c r="S118" s="2"/>
      <x:c r="T118" s="2"/>
      <x:c r="U118" s="2"/>
      <x:c r="V118" s="2"/>
    </x:row>
    <x:row r="119" ht="34" customHeight="1">
      <x:c r="A119" s="38" t="str">
        <x:v>C02-E061</x:v>
      </x:c>
      <x:c r="B119" s="38" t="str">
        <x:v>C02</x:v>
      </x:c>
      <x:c r="C119" s="38" t="str">
        <x:v>C02-R023</x:v>
      </x:c>
      <x:c r="D119" s="38" t="str">
        <x:v>C02-R043</x:v>
      </x:c>
      <x:c r="E119" s="55" t="n">
        <x:v>146.4</x:v>
      </x:c>
      <x:c r="F119" s="38" t="str">
        <x:v>是</x:v>
      </x:c>
      <x:c r="G119" s="38" t="str">
        <x:v>待核验</x:v>
      </x:c>
      <x:c r="H119" s="49" t="n">
        <x:v>3.5</x:v>
      </x:c>
      <x:c r="I119" s="49" t="n">
        <x:v>0.5</x:v>
      </x:c>
      <x:c r="J119" s="49" t="str">
        <x:v>待核验（可能设路桩、台阶）</x:v>
      </x:c>
      <x:c r="K119" s="49" t="n">
        <x:v>2.22</x:v>
      </x:c>
      <x:c r="L119" s="58" t="n">
        <x:f>IF(OR(E119="",K119="",K119=0),"n.a.",E119/K119)</x:f>
        <x:v>65.94594594594594</x:v>
      </x:c>
      <x:c r="M119" s="38" t="str">
        <x:v>06:00—23:00（推定）</x:v>
      </x:c>
      <x:c r="N119" s="59" t="n">
        <x:v>0.4</x:v>
      </x:c>
      <x:c r="O119" s="38" t="str">
        <x:v>OSM</x:v>
      </x:c>
      <x:c r="P119" s="38" t="str">
        <x:v>原始社区数据表</x:v>
      </x:c>
      <x:c r="Q119" s="2"/>
      <x:c r="R119" s="2"/>
      <x:c r="S119" s="2"/>
      <x:c r="T119" s="2"/>
      <x:c r="U119" s="2"/>
      <x:c r="V119" s="2"/>
    </x:row>
    <x:row r="120" ht="34" customHeight="1">
      <x:c r="A120" s="38" t="str">
        <x:v>C02-E062</x:v>
      </x:c>
      <x:c r="B120" s="38" t="str">
        <x:v>C02</x:v>
      </x:c>
      <x:c r="C120" s="38" t="str">
        <x:v>C02-R043</x:v>
      </x:c>
      <x:c r="D120" s="38" t="str">
        <x:v>C02-R060</x:v>
      </x:c>
      <x:c r="E120" s="55" t="n">
        <x:v>148.6</x:v>
      </x:c>
      <x:c r="F120" s="38" t="str">
        <x:v>是</x:v>
      </x:c>
      <x:c r="G120" s="38" t="str">
        <x:v>待核验</x:v>
      </x:c>
      <x:c r="H120" s="49" t="n">
        <x:v>3.5</x:v>
      </x:c>
      <x:c r="I120" s="49" t="n">
        <x:v>0.5</x:v>
      </x:c>
      <x:c r="J120" s="49" t="str">
        <x:v>待核验（可能设路桩、台阶）</x:v>
      </x:c>
      <x:c r="K120" s="49" t="n">
        <x:v>2.22</x:v>
      </x:c>
      <x:c r="L120" s="58" t="n">
        <x:f>IF(OR(E120="",K120="",K120=0),"n.a.",E120/K120)</x:f>
        <x:v>66.93693693693693</x:v>
      </x:c>
      <x:c r="M120" s="38" t="str">
        <x:v>06:00—23:00（推定）</x:v>
      </x:c>
      <x:c r="N120" s="59" t="n">
        <x:v>0.4</x:v>
      </x:c>
      <x:c r="O120" s="38" t="str">
        <x:v>OSM</x:v>
      </x:c>
      <x:c r="P120" s="38" t="str">
        <x:v>原始社区数据表</x:v>
      </x:c>
      <x:c r="Q120" s="2"/>
      <x:c r="R120" s="2"/>
      <x:c r="S120" s="2"/>
      <x:c r="T120" s="2"/>
      <x:c r="U120" s="2"/>
      <x:c r="V120" s="2"/>
    </x:row>
    <x:row r="121" ht="34" customHeight="1">
      <x:c r="A121" s="38" t="str">
        <x:v>C02-E063</x:v>
      </x:c>
      <x:c r="B121" s="38" t="str">
        <x:v>C02</x:v>
      </x:c>
      <x:c r="C121" s="38" t="str">
        <x:v>C02-R060</x:v>
      </x:c>
      <x:c r="D121" s="38" t="str">
        <x:v>C02-R063</x:v>
      </x:c>
      <x:c r="E121" s="55" t="n">
        <x:v>15.5</x:v>
      </x:c>
      <x:c r="F121" s="38" t="str">
        <x:v>是</x:v>
      </x:c>
      <x:c r="G121" s="38" t="str">
        <x:v>待核验</x:v>
      </x:c>
      <x:c r="H121" s="49" t="n">
        <x:v>3.5</x:v>
      </x:c>
      <x:c r="I121" s="49" t="n">
        <x:v>0.5</x:v>
      </x:c>
      <x:c r="J121" s="49" t="str">
        <x:v>待核验（可能设路桩、台阶）</x:v>
      </x:c>
      <x:c r="K121" s="49" t="n">
        <x:v>2.22</x:v>
      </x:c>
      <x:c r="L121" s="58" t="n">
        <x:f>IF(OR(E121="",K121="",K121=0),"n.a.",E121/K121)</x:f>
        <x:v>6.981981981981981</x:v>
      </x:c>
      <x:c r="M121" s="38" t="str">
        <x:v>06:00—23:00（推定）</x:v>
      </x:c>
      <x:c r="N121" s="59" t="n">
        <x:v>0.4</x:v>
      </x:c>
      <x:c r="O121" s="38" t="str">
        <x:v>OSM</x:v>
      </x:c>
      <x:c r="P121" s="38" t="str">
        <x:v>原始社区数据表</x:v>
      </x:c>
      <x:c r="Q121" s="2"/>
      <x:c r="R121" s="2"/>
      <x:c r="S121" s="2"/>
      <x:c r="T121" s="2"/>
      <x:c r="U121" s="2"/>
      <x:c r="V121" s="2"/>
    </x:row>
    <x:row r="122" ht="34" customHeight="1">
      <x:c r="A122" s="38" t="str">
        <x:v>C02-E064</x:v>
      </x:c>
      <x:c r="B122" s="38" t="str">
        <x:v>C02</x:v>
      </x:c>
      <x:c r="C122" s="38" t="str">
        <x:v>C02-R015</x:v>
      </x:c>
      <x:c r="D122" s="38" t="str">
        <x:v>C02-R025</x:v>
      </x:c>
      <x:c r="E122" s="55" t="n">
        <x:v>68.4</x:v>
      </x:c>
      <x:c r="F122" s="38" t="str">
        <x:v>否</x:v>
      </x:c>
      <x:c r="G122" s="38" t="str">
        <x:v>是</x:v>
      </x:c>
      <x:c r="H122" s="49" t="n">
        <x:v>7.5</x:v>
      </x:c>
      <x:c r="I122" s="49" t="n">
        <x:v>0.3</x:v>
      </x:c>
      <x:c r="J122" s="49" t="str">
        <x:v>无（缘石高差，路侧停车待核）</x:v>
      </x:c>
      <x:c r="K122" s="49" t="n">
        <x:v>3.33</x:v>
      </x:c>
      <x:c r="L122" s="58" t="n">
        <x:f>IF(OR(E122="",K122="",K122=0),"n.a.",E122/K122)</x:f>
        <x:v>20.54054054054054</x:v>
      </x:c>
      <x:c r="M122" s="38"/>
      <x:c r="N122" s="59" t="n">
        <x:v>0.3</x:v>
      </x:c>
      <x:c r="O122" s="38" t="str">
        <x:v>OSM</x:v>
      </x:c>
      <x:c r="P122" s="38" t="str">
        <x:v>原始社区数据表</x:v>
      </x:c>
      <x:c r="Q122" s="2"/>
      <x:c r="R122" s="2"/>
      <x:c r="S122" s="2"/>
      <x:c r="T122" s="2"/>
      <x:c r="U122" s="2"/>
      <x:c r="V122" s="2"/>
    </x:row>
    <x:row r="123" ht="34" customHeight="1">
      <x:c r="A123" s="38" t="str">
        <x:v>C02-E065</x:v>
      </x:c>
      <x:c r="B123" s="38" t="str">
        <x:v>C02</x:v>
      </x:c>
      <x:c r="C123" s="38" t="str">
        <x:v>C02-R025</x:v>
      </x:c>
      <x:c r="D123" s="38" t="str">
        <x:v>C02-R026</x:v>
      </x:c>
      <x:c r="E123" s="55" t="n">
        <x:v>22.5</x:v>
      </x:c>
      <x:c r="F123" s="38" t="str">
        <x:v>否</x:v>
      </x:c>
      <x:c r="G123" s="38" t="str">
        <x:v>是</x:v>
      </x:c>
      <x:c r="H123" s="49" t="n">
        <x:v>7.5</x:v>
      </x:c>
      <x:c r="I123" s="49" t="n">
        <x:v>0.3</x:v>
      </x:c>
      <x:c r="J123" s="49" t="str">
        <x:v>无（缘石高差，路侧停车待核）</x:v>
      </x:c>
      <x:c r="K123" s="49" t="n">
        <x:v>3.33</x:v>
      </x:c>
      <x:c r="L123" s="58" t="n">
        <x:f>IF(OR(E123="",K123="",K123=0),"n.a.",E123/K123)</x:f>
        <x:v>6.756756756756757</x:v>
      </x:c>
      <x:c r="M123" s="38"/>
      <x:c r="N123" s="59" t="n">
        <x:v>0.3</x:v>
      </x:c>
      <x:c r="O123" s="38" t="str">
        <x:v>OSM</x:v>
      </x:c>
      <x:c r="P123" s="38" t="str">
        <x:v>原始社区数据表</x:v>
      </x:c>
      <x:c r="Q123" s="2"/>
      <x:c r="R123" s="2"/>
      <x:c r="S123" s="2"/>
      <x:c r="T123" s="2"/>
      <x:c r="U123" s="2"/>
      <x:c r="V123" s="2"/>
    </x:row>
    <x:row r="124" ht="34" customHeight="1">
      <x:c r="A124" s="38" t="str">
        <x:v>C02-E066</x:v>
      </x:c>
      <x:c r="B124" s="38" t="str">
        <x:v>C02</x:v>
      </x:c>
      <x:c r="C124" s="38" t="str">
        <x:v>C02-R014</x:v>
      </x:c>
      <x:c r="D124" s="38" t="str">
        <x:v>C02-R011</x:v>
      </x:c>
      <x:c r="E124" s="55" t="n">
        <x:v>107</x:v>
      </x:c>
      <x:c r="F124" s="38" t="str">
        <x:v>否</x:v>
      </x:c>
      <x:c r="G124" s="38" t="str">
        <x:v>是</x:v>
      </x:c>
      <x:c r="H124" s="49" t="n">
        <x:v>7.5</x:v>
      </x:c>
      <x:c r="I124" s="49" t="n">
        <x:v>0.3</x:v>
      </x:c>
      <x:c r="J124" s="49" t="str">
        <x:v>无（缘石高差，路侧停车待核）</x:v>
      </x:c>
      <x:c r="K124" s="49" t="n">
        <x:v>3.33</x:v>
      </x:c>
      <x:c r="L124" s="58" t="n">
        <x:f>IF(OR(E124="",K124="",K124=0),"n.a.",E124/K124)</x:f>
        <x:v>32.132132132132135</x:v>
      </x:c>
      <x:c r="M124" s="38"/>
      <x:c r="N124" s="59" t="n">
        <x:v>0.3</x:v>
      </x:c>
      <x:c r="O124" s="38" t="str">
        <x:v>OSM</x:v>
      </x:c>
      <x:c r="P124" s="38" t="str">
        <x:v>原始社区数据表</x:v>
      </x:c>
      <x:c r="Q124" s="2"/>
      <x:c r="R124" s="2"/>
      <x:c r="S124" s="2"/>
      <x:c r="T124" s="2"/>
      <x:c r="U124" s="2"/>
      <x:c r="V124" s="2"/>
    </x:row>
    <x:row r="125" ht="34" customHeight="1">
      <x:c r="A125" s="38" t="str">
        <x:v>C02-E067</x:v>
      </x:c>
      <x:c r="B125" s="38" t="str">
        <x:v>C02</x:v>
      </x:c>
      <x:c r="C125" s="38" t="str">
        <x:v>C02-R011</x:v>
      </x:c>
      <x:c r="D125" s="38" t="str">
        <x:v>C02-R010</x:v>
      </x:c>
      <x:c r="E125" s="55" t="n">
        <x:v>9.1</x:v>
      </x:c>
      <x:c r="F125" s="38" t="str">
        <x:v>否</x:v>
      </x:c>
      <x:c r="G125" s="38" t="str">
        <x:v>是</x:v>
      </x:c>
      <x:c r="H125" s="49" t="n">
        <x:v>7.5</x:v>
      </x:c>
      <x:c r="I125" s="49" t="n">
        <x:v>0.3</x:v>
      </x:c>
      <x:c r="J125" s="49" t="str">
        <x:v>无（缘石高差，路侧停车待核）</x:v>
      </x:c>
      <x:c r="K125" s="49" t="n">
        <x:v>3.33</x:v>
      </x:c>
      <x:c r="L125" s="58" t="n">
        <x:f>IF(OR(E125="",K125="",K125=0),"n.a.",E125/K125)</x:f>
        <x:v>2.7327327327327327</x:v>
      </x:c>
      <x:c r="M125" s="38"/>
      <x:c r="N125" s="59" t="n">
        <x:v>0.3</x:v>
      </x:c>
      <x:c r="O125" s="38" t="str">
        <x:v>OSM</x:v>
      </x:c>
      <x:c r="P125" s="38" t="str">
        <x:v>原始社区数据表</x:v>
      </x:c>
      <x:c r="Q125" s="2"/>
      <x:c r="R125" s="2"/>
      <x:c r="S125" s="2"/>
      <x:c r="T125" s="2"/>
      <x:c r="U125" s="2"/>
      <x:c r="V125" s="2"/>
    </x:row>
    <x:row r="126" ht="34" customHeight="1">
      <x:c r="A126" s="38" t="str">
        <x:v>C02-E068</x:v>
      </x:c>
      <x:c r="B126" s="38" t="str">
        <x:v>C02</x:v>
      </x:c>
      <x:c r="C126" s="38" t="str">
        <x:v>C02-R010</x:v>
      </x:c>
      <x:c r="D126" s="38" t="str">
        <x:v>C02-R007</x:v>
      </x:c>
      <x:c r="E126" s="55" t="n">
        <x:v>38.4</x:v>
      </x:c>
      <x:c r="F126" s="38" t="str">
        <x:v>否</x:v>
      </x:c>
      <x:c r="G126" s="38" t="str">
        <x:v>是</x:v>
      </x:c>
      <x:c r="H126" s="49" t="n">
        <x:v>7.5</x:v>
      </x:c>
      <x:c r="I126" s="49" t="n">
        <x:v>0.3</x:v>
      </x:c>
      <x:c r="J126" s="49" t="str">
        <x:v>无（缘石高差，路侧停车待核）</x:v>
      </x:c>
      <x:c r="K126" s="49" t="n">
        <x:v>3.33</x:v>
      </x:c>
      <x:c r="L126" s="58" t="n">
        <x:f>IF(OR(E126="",K126="",K126=0),"n.a.",E126/K126)</x:f>
        <x:v>11.531531531531531</x:v>
      </x:c>
      <x:c r="M126" s="38"/>
      <x:c r="N126" s="59" t="n">
        <x:v>0.3</x:v>
      </x:c>
      <x:c r="O126" s="38" t="str">
        <x:v>OSM</x:v>
      </x:c>
      <x:c r="P126" s="38" t="str">
        <x:v>原始社区数据表</x:v>
      </x:c>
      <x:c r="Q126" s="2"/>
      <x:c r="R126" s="2"/>
      <x:c r="S126" s="2"/>
      <x:c r="T126" s="2"/>
      <x:c r="U126" s="2"/>
      <x:c r="V126" s="2"/>
    </x:row>
    <x:row r="127" ht="34" customHeight="1">
      <x:c r="A127" s="38" t="str">
        <x:v>C02-E069</x:v>
      </x:c>
      <x:c r="B127" s="38" t="str">
        <x:v>C02</x:v>
      </x:c>
      <x:c r="C127" s="38" t="str">
        <x:v>C02-R007</x:v>
      </x:c>
      <x:c r="D127" s="38" t="str">
        <x:v>C02-R005</x:v>
      </x:c>
      <x:c r="E127" s="55" t="n">
        <x:v>38.3</x:v>
      </x:c>
      <x:c r="F127" s="38" t="str">
        <x:v>否</x:v>
      </x:c>
      <x:c r="G127" s="38" t="str">
        <x:v>是</x:v>
      </x:c>
      <x:c r="H127" s="49" t="n">
        <x:v>7.5</x:v>
      </x:c>
      <x:c r="I127" s="49" t="n">
        <x:v>0.3</x:v>
      </x:c>
      <x:c r="J127" s="49" t="str">
        <x:v>无（缘石高差，路侧停车待核）</x:v>
      </x:c>
      <x:c r="K127" s="49" t="n">
        <x:v>3.33</x:v>
      </x:c>
      <x:c r="L127" s="58" t="n">
        <x:f>IF(OR(E127="",K127="",K127=0),"n.a.",E127/K127)</x:f>
        <x:v>11.501501501501501</x:v>
      </x:c>
      <x:c r="M127" s="38"/>
      <x:c r="N127" s="59" t="n">
        <x:v>0.3</x:v>
      </x:c>
      <x:c r="O127" s="38" t="str">
        <x:v>OSM</x:v>
      </x:c>
      <x:c r="P127" s="38" t="str">
        <x:v>原始社区数据表</x:v>
      </x:c>
      <x:c r="Q127" s="2"/>
      <x:c r="R127" s="2"/>
      <x:c r="S127" s="2"/>
      <x:c r="T127" s="2"/>
      <x:c r="U127" s="2"/>
      <x:c r="V127" s="2"/>
    </x:row>
    <x:row r="128" ht="34" customHeight="1">
      <x:c r="A128" s="38" t="str">
        <x:v>C02-E070</x:v>
      </x:c>
      <x:c r="B128" s="38" t="str">
        <x:v>C02</x:v>
      </x:c>
      <x:c r="C128" s="38" t="str">
        <x:v>C02-R005</x:v>
      </x:c>
      <x:c r="D128" s="38" t="str">
        <x:v>C02-R004</x:v>
      </x:c>
      <x:c r="E128" s="55" t="n">
        <x:v>59.7</x:v>
      </x:c>
      <x:c r="F128" s="38" t="str">
        <x:v>否</x:v>
      </x:c>
      <x:c r="G128" s="38" t="str">
        <x:v>是</x:v>
      </x:c>
      <x:c r="H128" s="49" t="n">
        <x:v>7.5</x:v>
      </x:c>
      <x:c r="I128" s="49" t="n">
        <x:v>0.3</x:v>
      </x:c>
      <x:c r="J128" s="49" t="str">
        <x:v>无（缘石高差，路侧停车待核）</x:v>
      </x:c>
      <x:c r="K128" s="49" t="n">
        <x:v>3.33</x:v>
      </x:c>
      <x:c r="L128" s="58" t="n">
        <x:f>IF(OR(E128="",K128="",K128=0),"n.a.",E128/K128)</x:f>
        <x:v>17.92792792792793</x:v>
      </x:c>
      <x:c r="M128" s="38"/>
      <x:c r="N128" s="59" t="n">
        <x:v>0.3</x:v>
      </x:c>
      <x:c r="O128" s="38" t="str">
        <x:v>OSM</x:v>
      </x:c>
      <x:c r="P128" s="38" t="str">
        <x:v>原始社区数据表</x:v>
      </x:c>
      <x:c r="Q128" s="2"/>
      <x:c r="R128" s="2"/>
      <x:c r="S128" s="2"/>
      <x:c r="T128" s="2"/>
      <x:c r="U128" s="2"/>
      <x:c r="V128" s="2"/>
    </x:row>
    <x:row r="129" ht="34" customHeight="1">
      <x:c r="A129" s="38" t="str">
        <x:v>C02-E071</x:v>
      </x:c>
      <x:c r="B129" s="38" t="str">
        <x:v>C02</x:v>
      </x:c>
      <x:c r="C129" s="38" t="str">
        <x:v>C02-R004</x:v>
      </x:c>
      <x:c r="D129" s="38" t="str">
        <x:v>C02-R003</x:v>
      </x:c>
      <x:c r="E129" s="55" t="n">
        <x:v>128.4</x:v>
      </x:c>
      <x:c r="F129" s="38" t="str">
        <x:v>否</x:v>
      </x:c>
      <x:c r="G129" s="38" t="str">
        <x:v>是</x:v>
      </x:c>
      <x:c r="H129" s="49" t="n">
        <x:v>7.5</x:v>
      </x:c>
      <x:c r="I129" s="49" t="n">
        <x:v>0.3</x:v>
      </x:c>
      <x:c r="J129" s="49" t="str">
        <x:v>无（缘石高差，路侧停车待核）</x:v>
      </x:c>
      <x:c r="K129" s="49" t="n">
        <x:v>3.33</x:v>
      </x:c>
      <x:c r="L129" s="58" t="n">
        <x:f>IF(OR(E129="",K129="",K129=0),"n.a.",E129/K129)</x:f>
        <x:v>38.55855855855856</x:v>
      </x:c>
      <x:c r="M129" s="38"/>
      <x:c r="N129" s="59" t="n">
        <x:v>0.3</x:v>
      </x:c>
      <x:c r="O129" s="38" t="str">
        <x:v>OSM</x:v>
      </x:c>
      <x:c r="P129" s="38" t="str">
        <x:v>原始社区数据表</x:v>
      </x:c>
      <x:c r="Q129" s="2"/>
      <x:c r="R129" s="2"/>
      <x:c r="S129" s="2"/>
      <x:c r="T129" s="2"/>
      <x:c r="U129" s="2"/>
      <x:c r="V129" s="2"/>
    </x:row>
    <x:row r="130" ht="34" customHeight="1">
      <x:c r="A130" s="38" t="str">
        <x:v>C02-E072</x:v>
      </x:c>
      <x:c r="B130" s="38" t="str">
        <x:v>C02</x:v>
      </x:c>
      <x:c r="C130" s="38" t="str">
        <x:v>C02-R003</x:v>
      </x:c>
      <x:c r="D130" s="38" t="str">
        <x:v>C02-R001</x:v>
      </x:c>
      <x:c r="E130" s="55" t="n">
        <x:v>15.4</x:v>
      </x:c>
      <x:c r="F130" s="38" t="str">
        <x:v>否</x:v>
      </x:c>
      <x:c r="G130" s="38" t="str">
        <x:v>是</x:v>
      </x:c>
      <x:c r="H130" s="49" t="n">
        <x:v>7.5</x:v>
      </x:c>
      <x:c r="I130" s="49" t="n">
        <x:v>0.3</x:v>
      </x:c>
      <x:c r="J130" s="49" t="str">
        <x:v>无（缘石高差，路侧停车待核）</x:v>
      </x:c>
      <x:c r="K130" s="49" t="n">
        <x:v>3.33</x:v>
      </x:c>
      <x:c r="L130" s="58" t="n">
        <x:f>IF(OR(E130="",K130="",K130=0),"n.a.",E130/K130)</x:f>
        <x:v>4.624624624624625</x:v>
      </x:c>
      <x:c r="M130" s="38"/>
      <x:c r="N130" s="59" t="n">
        <x:v>0.3</x:v>
      </x:c>
      <x:c r="O130" s="38" t="str">
        <x:v>OSM</x:v>
      </x:c>
      <x:c r="P130" s="38" t="str">
        <x:v>原始社区数据表</x:v>
      </x:c>
      <x:c r="Q130" s="2"/>
      <x:c r="R130" s="2"/>
      <x:c r="S130" s="2"/>
      <x:c r="T130" s="2"/>
      <x:c r="U130" s="2"/>
      <x:c r="V130" s="2"/>
    </x:row>
    <x:row r="131" ht="34" customHeight="1">
      <x:c r="A131" s="38" t="str">
        <x:v>C02-E073</x:v>
      </x:c>
      <x:c r="B131" s="38" t="str">
        <x:v>C02</x:v>
      </x:c>
      <x:c r="C131" s="38" t="str">
        <x:v>C02-R002</x:v>
      </x:c>
      <x:c r="D131" s="38" t="str">
        <x:v>C02-R006</x:v>
      </x:c>
      <x:c r="E131" s="55" t="n">
        <x:v>206.3</x:v>
      </x:c>
      <x:c r="F131" s="38" t="str">
        <x:v>否</x:v>
      </x:c>
      <x:c r="G131" s="38" t="str">
        <x:v>是</x:v>
      </x:c>
      <x:c r="H131" s="49" t="n">
        <x:v>7.5</x:v>
      </x:c>
      <x:c r="I131" s="49" t="n">
        <x:v>0.3</x:v>
      </x:c>
      <x:c r="J131" s="49" t="str">
        <x:v>无（缘石高差，路侧停车待核）</x:v>
      </x:c>
      <x:c r="K131" s="49" t="n">
        <x:v>3.33</x:v>
      </x:c>
      <x:c r="L131" s="58" t="n">
        <x:f>IF(OR(E131="",K131="",K131=0),"n.a.",E131/K131)</x:f>
        <x:v>61.951951951951955</x:v>
      </x:c>
      <x:c r="M131" s="38"/>
      <x:c r="N131" s="59" t="n">
        <x:v>0.3</x:v>
      </x:c>
      <x:c r="O131" s="38" t="str">
        <x:v>OSM</x:v>
      </x:c>
      <x:c r="P131" s="38" t="str">
        <x:v>原始社区数据表</x:v>
      </x:c>
      <x:c r="Q131" s="2"/>
      <x:c r="R131" s="2"/>
      <x:c r="S131" s="2"/>
      <x:c r="T131" s="2"/>
      <x:c r="U131" s="2"/>
      <x:c r="V131" s="2"/>
    </x:row>
    <x:row r="132" ht="34" customHeight="1">
      <x:c r="A132" s="38" t="str">
        <x:v>C02-E074</x:v>
      </x:c>
      <x:c r="B132" s="38" t="str">
        <x:v>C02</x:v>
      </x:c>
      <x:c r="C132" s="38" t="str">
        <x:v>C02-R006</x:v>
      </x:c>
      <x:c r="D132" s="38" t="str">
        <x:v>C02-R009</x:v>
      </x:c>
      <x:c r="E132" s="55" t="n">
        <x:v>63.6</x:v>
      </x:c>
      <x:c r="F132" s="38" t="str">
        <x:v>否</x:v>
      </x:c>
      <x:c r="G132" s="38" t="str">
        <x:v>是</x:v>
      </x:c>
      <x:c r="H132" s="49" t="n">
        <x:v>7.5</x:v>
      </x:c>
      <x:c r="I132" s="49" t="n">
        <x:v>0.3</x:v>
      </x:c>
      <x:c r="J132" s="49" t="str">
        <x:v>无（缘石高差，路侧停车待核）</x:v>
      </x:c>
      <x:c r="K132" s="49" t="n">
        <x:v>3.33</x:v>
      </x:c>
      <x:c r="L132" s="58" t="n">
        <x:f>IF(OR(E132="",K132="",K132=0),"n.a.",E132/K132)</x:f>
        <x:v>19.0990990990991</x:v>
      </x:c>
      <x:c r="M132" s="38"/>
      <x:c r="N132" s="59" t="n">
        <x:v>0.3</x:v>
      </x:c>
      <x:c r="O132" s="38" t="str">
        <x:v>OSM</x:v>
      </x:c>
      <x:c r="P132" s="38" t="str">
        <x:v>原始社区数据表</x:v>
      </x:c>
      <x:c r="Q132" s="2"/>
      <x:c r="R132" s="2"/>
      <x:c r="S132" s="2"/>
      <x:c r="T132" s="2"/>
      <x:c r="U132" s="2"/>
      <x:c r="V132" s="2"/>
    </x:row>
    <x:row r="133" ht="34" customHeight="1">
      <x:c r="A133" s="38" t="str">
        <x:v>C02-E075</x:v>
      </x:c>
      <x:c r="B133" s="38" t="str">
        <x:v>C02</x:v>
      </x:c>
      <x:c r="C133" s="38" t="str">
        <x:v>C02-R009</x:v>
      </x:c>
      <x:c r="D133" s="38" t="str">
        <x:v>C02-R013</x:v>
      </x:c>
      <x:c r="E133" s="55" t="n">
        <x:v>111.4</x:v>
      </x:c>
      <x:c r="F133" s="38" t="str">
        <x:v>否</x:v>
      </x:c>
      <x:c r="G133" s="38" t="str">
        <x:v>是</x:v>
      </x:c>
      <x:c r="H133" s="49" t="n">
        <x:v>7.5</x:v>
      </x:c>
      <x:c r="I133" s="49" t="n">
        <x:v>0.3</x:v>
      </x:c>
      <x:c r="J133" s="49" t="str">
        <x:v>无（缘石高差，路侧停车待核）</x:v>
      </x:c>
      <x:c r="K133" s="49" t="n">
        <x:v>3.33</x:v>
      </x:c>
      <x:c r="L133" s="58" t="n">
        <x:f>IF(OR(E133="",K133="",K133=0),"n.a.",E133/K133)</x:f>
        <x:v>33.453453453453456</x:v>
      </x:c>
      <x:c r="M133" s="38"/>
      <x:c r="N133" s="59" t="n">
        <x:v>0.3</x:v>
      </x:c>
      <x:c r="O133" s="38" t="str">
        <x:v>OSM</x:v>
      </x:c>
      <x:c r="P133" s="38" t="str">
        <x:v>原始社区数据表</x:v>
      </x:c>
      <x:c r="Q133" s="2"/>
      <x:c r="R133" s="2"/>
      <x:c r="S133" s="2"/>
      <x:c r="T133" s="2"/>
      <x:c r="U133" s="2"/>
      <x:c r="V133" s="2"/>
    </x:row>
    <x:row r="134" ht="34" customHeight="1">
      <x:c r="A134" s="38" t="str">
        <x:v>C02-E076</x:v>
      </x:c>
      <x:c r="B134" s="38" t="str">
        <x:v>C02</x:v>
      </x:c>
      <x:c r="C134" s="38" t="str">
        <x:v>C02-R075</x:v>
      </x:c>
      <x:c r="D134" s="38" t="str">
        <x:v>C02-R004</x:v>
      </x:c>
      <x:c r="E134" s="55" t="n">
        <x:v>58.8</x:v>
      </x:c>
      <x:c r="F134" s="38" t="str">
        <x:v>是</x:v>
      </x:c>
      <x:c r="G134" s="38" t="str">
        <x:v>待核验</x:v>
      </x:c>
      <x:c r="H134" s="49" t="n">
        <x:v>3.5</x:v>
      </x:c>
      <x:c r="I134" s="49" t="n">
        <x:v>0.5</x:v>
      </x:c>
      <x:c r="J134" s="49" t="str">
        <x:v>待核验（可能设路桩、台阶）</x:v>
      </x:c>
      <x:c r="K134" s="49" t="n">
        <x:v>2.22</x:v>
      </x:c>
      <x:c r="L134" s="58" t="n">
        <x:f>IF(OR(E134="",K134="",K134=0),"n.a.",E134/K134)</x:f>
        <x:v>26.486486486486484</x:v>
      </x:c>
      <x:c r="M134" s="38" t="str">
        <x:v>06:00—23:00（推定）</x:v>
      </x:c>
      <x:c r="N134" s="59" t="n">
        <x:v>0.4</x:v>
      </x:c>
      <x:c r="O134" s="38" t="str">
        <x:v>推定（接入段）</x:v>
      </x:c>
      <x:c r="P134" s="38" t="str">
        <x:v>原始社区数据表</x:v>
      </x:c>
      <x:c r="Q134" s="2"/>
      <x:c r="R134" s="2"/>
      <x:c r="S134" s="2"/>
      <x:c r="T134" s="2"/>
      <x:c r="U134" s="2"/>
      <x:c r="V134" s="2"/>
    </x:row>
    <x:row r="135" ht="34" customHeight="1">
      <x:c r="A135" s="38" t="str">
        <x:v>C02-E077</x:v>
      </x:c>
      <x:c r="B135" s="38" t="str">
        <x:v>C02</x:v>
      </x:c>
      <x:c r="C135" s="38" t="str">
        <x:v>C02-R076</x:v>
      </x:c>
      <x:c r="D135" s="38" t="str">
        <x:v>C02-R018</x:v>
      </x:c>
      <x:c r="E135" s="55" t="n">
        <x:v>69.7</x:v>
      </x:c>
      <x:c r="F135" s="38" t="str">
        <x:v>是</x:v>
      </x:c>
      <x:c r="G135" s="38" t="str">
        <x:v>待核验</x:v>
      </x:c>
      <x:c r="H135" s="49" t="n">
        <x:v>3.5</x:v>
      </x:c>
      <x:c r="I135" s="49" t="n">
        <x:v>0.5</x:v>
      </x:c>
      <x:c r="J135" s="49" t="str">
        <x:v>待核验（可能设路桩、台阶）</x:v>
      </x:c>
      <x:c r="K135" s="49" t="n">
        <x:v>2.22</x:v>
      </x:c>
      <x:c r="L135" s="58" t="n">
        <x:f>IF(OR(E135="",K135="",K135=0),"n.a.",E135/K135)</x:f>
        <x:v>31.396396396396394</x:v>
      </x:c>
      <x:c r="M135" s="38" t="str">
        <x:v>06:00—23:00（推定）</x:v>
      </x:c>
      <x:c r="N135" s="59" t="n">
        <x:v>0.4</x:v>
      </x:c>
      <x:c r="O135" s="38" t="str">
        <x:v>推定（接入段）</x:v>
      </x:c>
      <x:c r="P135" s="38" t="str">
        <x:v>原始社区数据表</x:v>
      </x:c>
      <x:c r="Q135" s="2"/>
      <x:c r="R135" s="2"/>
      <x:c r="S135" s="2"/>
      <x:c r="T135" s="2"/>
      <x:c r="U135" s="2"/>
      <x:c r="V135" s="2"/>
    </x:row>
    <x:row r="136" ht="34" customHeight="1">
      <x:c r="A136" s="38" t="str">
        <x:v>C02-E078</x:v>
      </x:c>
      <x:c r="B136" s="38" t="str">
        <x:v>C02</x:v>
      </x:c>
      <x:c r="C136" s="38" t="str">
        <x:v>C02-R077</x:v>
      </x:c>
      <x:c r="D136" s="38" t="str">
        <x:v>C02-R012</x:v>
      </x:c>
      <x:c r="E136" s="55" t="n">
        <x:v>33</x:v>
      </x:c>
      <x:c r="F136" s="38" t="str">
        <x:v>是</x:v>
      </x:c>
      <x:c r="G136" s="38" t="str">
        <x:v>待核验</x:v>
      </x:c>
      <x:c r="H136" s="49" t="n">
        <x:v>3.5</x:v>
      </x:c>
      <x:c r="I136" s="49" t="n">
        <x:v>0.5</x:v>
      </x:c>
      <x:c r="J136" s="49" t="str">
        <x:v>待核验（可能设路桩、台阶）</x:v>
      </x:c>
      <x:c r="K136" s="49" t="n">
        <x:v>2.22</x:v>
      </x:c>
      <x:c r="L136" s="58" t="n">
        <x:f>IF(OR(E136="",K136="",K136=0),"n.a.",E136/K136)</x:f>
        <x:v>14.864864864864863</x:v>
      </x:c>
      <x:c r="M136" s="38" t="str">
        <x:v>06:00—23:00（推定）</x:v>
      </x:c>
      <x:c r="N136" s="59" t="n">
        <x:v>0.4</x:v>
      </x:c>
      <x:c r="O136" s="38" t="str">
        <x:v>推定（接入段）</x:v>
      </x:c>
      <x:c r="P136" s="38" t="str">
        <x:v>原始社区数据表</x:v>
      </x:c>
      <x:c r="Q136" s="2"/>
      <x:c r="R136" s="2"/>
      <x:c r="S136" s="2"/>
      <x:c r="T136" s="2"/>
      <x:c r="U136" s="2"/>
      <x:c r="V136" s="2"/>
    </x:row>
    <x:row r="137" ht="34" customHeight="1">
      <x:c r="A137" s="38" t="str">
        <x:v>C02-E079</x:v>
      </x:c>
      <x:c r="B137" s="38" t="str">
        <x:v>C02</x:v>
      </x:c>
      <x:c r="C137" s="38" t="str">
        <x:v>C02-R078</x:v>
      </x:c>
      <x:c r="D137" s="38" t="str">
        <x:v>C02-R012</x:v>
      </x:c>
      <x:c r="E137" s="55" t="n">
        <x:v>33.5</x:v>
      </x:c>
      <x:c r="F137" s="38" t="str">
        <x:v>是</x:v>
      </x:c>
      <x:c r="G137" s="38" t="str">
        <x:v>待核验</x:v>
      </x:c>
      <x:c r="H137" s="49" t="n">
        <x:v>3.5</x:v>
      </x:c>
      <x:c r="I137" s="49" t="n">
        <x:v>0.5</x:v>
      </x:c>
      <x:c r="J137" s="49" t="str">
        <x:v>待核验（可能设路桩、台阶）</x:v>
      </x:c>
      <x:c r="K137" s="49" t="n">
        <x:v>2.22</x:v>
      </x:c>
      <x:c r="L137" s="58" t="n">
        <x:f>IF(OR(E137="",K137="",K137=0),"n.a.",E137/K137)</x:f>
        <x:v>15.090090090090088</x:v>
      </x:c>
      <x:c r="M137" s="38" t="str">
        <x:v>06:00—23:00（推定）</x:v>
      </x:c>
      <x:c r="N137" s="59" t="n">
        <x:v>0.4</x:v>
      </x:c>
      <x:c r="O137" s="38" t="str">
        <x:v>推定（接入段）</x:v>
      </x:c>
      <x:c r="P137" s="38" t="str">
        <x:v>原始社区数据表</x:v>
      </x:c>
      <x:c r="Q137" s="2"/>
      <x:c r="R137" s="2"/>
      <x:c r="S137" s="2"/>
      <x:c r="T137" s="2"/>
      <x:c r="U137" s="2"/>
      <x:c r="V137" s="2"/>
    </x:row>
    <x:row r="138" ht="34" customHeight="1">
      <x:c r="A138" s="38" t="str">
        <x:v>C02-E080</x:v>
      </x:c>
      <x:c r="B138" s="38" t="str">
        <x:v>C02</x:v>
      </x:c>
      <x:c r="C138" s="38" t="str">
        <x:v>C02-R079</x:v>
      </x:c>
      <x:c r="D138" s="38" t="str">
        <x:v>C02-R021</x:v>
      </x:c>
      <x:c r="E138" s="55" t="n">
        <x:v>38.6</x:v>
      </x:c>
      <x:c r="F138" s="38" t="str">
        <x:v>是</x:v>
      </x:c>
      <x:c r="G138" s="38" t="str">
        <x:v>待核验</x:v>
      </x:c>
      <x:c r="H138" s="49" t="n">
        <x:v>3.5</x:v>
      </x:c>
      <x:c r="I138" s="49" t="n">
        <x:v>0.5</x:v>
      </x:c>
      <x:c r="J138" s="49" t="str">
        <x:v>待核验（可能设路桩、台阶）</x:v>
      </x:c>
      <x:c r="K138" s="49" t="n">
        <x:v>2.22</x:v>
      </x:c>
      <x:c r="L138" s="58" t="n">
        <x:f>IF(OR(E138="",K138="",K138=0),"n.a.",E138/K138)</x:f>
        <x:v>17.387387387387385</x:v>
      </x:c>
      <x:c r="M138" s="38" t="str">
        <x:v>06:00—23:00（推定）</x:v>
      </x:c>
      <x:c r="N138" s="59" t="n">
        <x:v>0.4</x:v>
      </x:c>
      <x:c r="O138" s="38" t="str">
        <x:v>推定（接入段）</x:v>
      </x:c>
      <x:c r="P138" s="38" t="str">
        <x:v>原始社区数据表</x:v>
      </x:c>
      <x:c r="Q138" s="2"/>
      <x:c r="R138" s="2"/>
      <x:c r="S138" s="2"/>
      <x:c r="T138" s="2"/>
      <x:c r="U138" s="2"/>
      <x:c r="V138" s="2"/>
    </x:row>
    <x:row r="139" ht="34" customHeight="1">
      <x:c r="A139" s="38" t="str">
        <x:v>C02-E081</x:v>
      </x:c>
      <x:c r="B139" s="38" t="str">
        <x:v>C02</x:v>
      </x:c>
      <x:c r="C139" s="38" t="str">
        <x:v>C02-R080</x:v>
      </x:c>
      <x:c r="D139" s="38" t="str">
        <x:v>C02-R017</x:v>
      </x:c>
      <x:c r="E139" s="55" t="n">
        <x:v>20.1</x:v>
      </x:c>
      <x:c r="F139" s="38" t="str">
        <x:v>是</x:v>
      </x:c>
      <x:c r="G139" s="38" t="str">
        <x:v>待核验</x:v>
      </x:c>
      <x:c r="H139" s="49" t="n">
        <x:v>3.5</x:v>
      </x:c>
      <x:c r="I139" s="49" t="n">
        <x:v>0.5</x:v>
      </x:c>
      <x:c r="J139" s="49" t="str">
        <x:v>待核验（可能设路桩、台阶）</x:v>
      </x:c>
      <x:c r="K139" s="49" t="n">
        <x:v>2.22</x:v>
      </x:c>
      <x:c r="L139" s="58" t="n">
        <x:f>IF(OR(E139="",K139="",K139=0),"n.a.",E139/K139)</x:f>
        <x:v>9.054054054054054</x:v>
      </x:c>
      <x:c r="M139" s="38" t="str">
        <x:v>06:00—23:00（推定）</x:v>
      </x:c>
      <x:c r="N139" s="59" t="n">
        <x:v>0.4</x:v>
      </x:c>
      <x:c r="O139" s="38" t="str">
        <x:v>推定（接入段）</x:v>
      </x:c>
      <x:c r="P139" s="38" t="str">
        <x:v>原始社区数据表</x:v>
      </x:c>
      <x:c r="Q139" s="2"/>
      <x:c r="R139" s="2"/>
      <x:c r="S139" s="2"/>
      <x:c r="T139" s="2"/>
      <x:c r="U139" s="2"/>
      <x:c r="V139" s="2"/>
    </x:row>
    <x:row r="140" ht="34" customHeight="1">
      <x:c r="A140" s="38" t="str">
        <x:v>C02-E082</x:v>
      </x:c>
      <x:c r="B140" s="38" t="str">
        <x:v>C02</x:v>
      </x:c>
      <x:c r="C140" s="38" t="str">
        <x:v>C02-R081</x:v>
      </x:c>
      <x:c r="D140" s="38" t="str">
        <x:v>C02-R021</x:v>
      </x:c>
      <x:c r="E140" s="55" t="n">
        <x:v>15.8</x:v>
      </x:c>
      <x:c r="F140" s="38" t="str">
        <x:v>是</x:v>
      </x:c>
      <x:c r="G140" s="38" t="str">
        <x:v>待核验</x:v>
      </x:c>
      <x:c r="H140" s="49" t="n">
        <x:v>3.5</x:v>
      </x:c>
      <x:c r="I140" s="49" t="n">
        <x:v>0.5</x:v>
      </x:c>
      <x:c r="J140" s="49" t="str">
        <x:v>待核验（可能设路桩、台阶）</x:v>
      </x:c>
      <x:c r="K140" s="49" t="n">
        <x:v>2.22</x:v>
      </x:c>
      <x:c r="L140" s="58" t="n">
        <x:f>IF(OR(E140="",K140="",K140=0),"n.a.",E140/K140)</x:f>
        <x:v>7.117117117117117</x:v>
      </x:c>
      <x:c r="M140" s="38" t="str">
        <x:v>06:00—23:00（推定）</x:v>
      </x:c>
      <x:c r="N140" s="59" t="n">
        <x:v>0.4</x:v>
      </x:c>
      <x:c r="O140" s="38" t="str">
        <x:v>推定（接入段）</x:v>
      </x:c>
      <x:c r="P140" s="38" t="str">
        <x:v>原始社区数据表</x:v>
      </x:c>
      <x:c r="Q140" s="2"/>
      <x:c r="R140" s="2"/>
      <x:c r="S140" s="2"/>
      <x:c r="T140" s="2"/>
      <x:c r="U140" s="2"/>
      <x:c r="V140" s="2"/>
    </x:row>
    <x:row r="141" ht="34" customHeight="1">
      <x:c r="A141" s="38" t="str">
        <x:v>C02-E083</x:v>
      </x:c>
      <x:c r="B141" s="38" t="str">
        <x:v>C02</x:v>
      </x:c>
      <x:c r="C141" s="38" t="str">
        <x:v>C02-R082</x:v>
      </x:c>
      <x:c r="D141" s="38" t="str">
        <x:v>C02-R042</x:v>
      </x:c>
      <x:c r="E141" s="55" t="n">
        <x:v>17.3</x:v>
      </x:c>
      <x:c r="F141" s="38" t="str">
        <x:v>是</x:v>
      </x:c>
      <x:c r="G141" s="38" t="str">
        <x:v>待核验</x:v>
      </x:c>
      <x:c r="H141" s="49" t="n">
        <x:v>3.5</x:v>
      </x:c>
      <x:c r="I141" s="49" t="n">
        <x:v>0.5</x:v>
      </x:c>
      <x:c r="J141" s="49" t="str">
        <x:v>待核验（可能设路桩、台阶）</x:v>
      </x:c>
      <x:c r="K141" s="49" t="n">
        <x:v>2.22</x:v>
      </x:c>
      <x:c r="L141" s="58" t="n">
        <x:f>IF(OR(E141="",K141="",K141=0),"n.a.",E141/K141)</x:f>
        <x:v>7.792792792792793</x:v>
      </x:c>
      <x:c r="M141" s="38" t="str">
        <x:v>06:00—23:00（推定）</x:v>
      </x:c>
      <x:c r="N141" s="59" t="n">
        <x:v>0.4</x:v>
      </x:c>
      <x:c r="O141" s="38" t="str">
        <x:v>推定（接入段）</x:v>
      </x:c>
      <x:c r="P141" s="38" t="str">
        <x:v>原始社区数据表</x:v>
      </x:c>
      <x:c r="Q141" s="2"/>
      <x:c r="R141" s="2"/>
      <x:c r="S141" s="2"/>
      <x:c r="T141" s="2"/>
      <x:c r="U141" s="2"/>
      <x:c r="V141" s="2"/>
    </x:row>
    <x:row r="142" ht="34" customHeight="1">
      <x:c r="A142" s="38" t="str">
        <x:v>C02-E084</x:v>
      </x:c>
      <x:c r="B142" s="38" t="str">
        <x:v>C02</x:v>
      </x:c>
      <x:c r="C142" s="38" t="str">
        <x:v>C02-R083</x:v>
      </x:c>
      <x:c r="D142" s="38" t="str">
        <x:v>C02-R021</x:v>
      </x:c>
      <x:c r="E142" s="55" t="n">
        <x:v>52.8</x:v>
      </x:c>
      <x:c r="F142" s="38" t="str">
        <x:v>是</x:v>
      </x:c>
      <x:c r="G142" s="38" t="str">
        <x:v>待核验</x:v>
      </x:c>
      <x:c r="H142" s="49" t="n">
        <x:v>3.5</x:v>
      </x:c>
      <x:c r="I142" s="49" t="n">
        <x:v>0.5</x:v>
      </x:c>
      <x:c r="J142" s="49" t="str">
        <x:v>待核验（可能设路桩、台阶）</x:v>
      </x:c>
      <x:c r="K142" s="49" t="n">
        <x:v>2.22</x:v>
      </x:c>
      <x:c r="L142" s="58" t="n">
        <x:f>IF(OR(E142="",K142="",K142=0),"n.a.",E142/K142)</x:f>
        <x:v>23.78378378378378</x:v>
      </x:c>
      <x:c r="M142" s="38" t="str">
        <x:v>06:00—23:00（推定）</x:v>
      </x:c>
      <x:c r="N142" s="59" t="n">
        <x:v>0.4</x:v>
      </x:c>
      <x:c r="O142" s="38" t="str">
        <x:v>推定（接入段）</x:v>
      </x:c>
      <x:c r="P142" s="38" t="str">
        <x:v>原始社区数据表</x:v>
      </x:c>
      <x:c r="Q142" s="2"/>
      <x:c r="R142" s="2"/>
      <x:c r="S142" s="2"/>
      <x:c r="T142" s="2"/>
      <x:c r="U142" s="2"/>
      <x:c r="V142" s="2"/>
    </x:row>
    <x:row r="143" ht="34" customHeight="1">
      <x:c r="A143" s="38" t="str">
        <x:v>C03-E001</x:v>
      </x:c>
      <x:c r="B143" s="38" t="str">
        <x:v>C03</x:v>
      </x:c>
      <x:c r="C143" s="38" t="str">
        <x:v>C03-R001</x:v>
      </x:c>
      <x:c r="D143" s="38" t="str">
        <x:v>C03-R002</x:v>
      </x:c>
      <x:c r="E143" s="55" t="n">
        <x:v>10.3</x:v>
      </x:c>
      <x:c r="F143" s="38" t="str">
        <x:v>否</x:v>
      </x:c>
      <x:c r="G143" s="38" t="str">
        <x:v>是</x:v>
      </x:c>
      <x:c r="H143" s="49" t="n">
        <x:v>12</x:v>
      </x:c>
      <x:c r="I143" s="49" t="n">
        <x:v>0.3</x:v>
      </x:c>
      <x:c r="J143" s="49" t="str">
        <x:v>无（缘石高差，路侧停车待核）</x:v>
      </x:c>
      <x:c r="K143" s="49" t="n">
        <x:v>3.33</x:v>
      </x:c>
      <x:c r="L143" s="58" t="n">
        <x:f>IF(OR(E143="",K143="",K143=0),"n.a.",E143/K143)</x:f>
        <x:v>3.0930930930930933</x:v>
      </x:c>
      <x:c r="M143" s="38" t="str">
        <x:v>00:00—24:00</x:v>
      </x:c>
      <x:c r="N143" s="59" t="n">
        <x:v>0.3</x:v>
      </x:c>
      <x:c r="O143" s="38" t="str">
        <x:v>OSM</x:v>
      </x:c>
      <x:c r="P143" s="38" t="str">
        <x:v>原始社区数据表</x:v>
      </x:c>
      <x:c r="Q143" s="2"/>
      <x:c r="R143" s="2"/>
      <x:c r="S143" s="2"/>
      <x:c r="T143" s="2"/>
      <x:c r="U143" s="2"/>
      <x:c r="V143" s="2"/>
    </x:row>
    <x:row r="144" ht="34" customHeight="1">
      <x:c r="A144" s="38" t="str">
        <x:v>C03-E002</x:v>
      </x:c>
      <x:c r="B144" s="38" t="str">
        <x:v>C03</x:v>
      </x:c>
      <x:c r="C144" s="38" t="str">
        <x:v>C03-R002</x:v>
      </x:c>
      <x:c r="D144" s="38" t="str">
        <x:v>C03-R003</x:v>
      </x:c>
      <x:c r="E144" s="55" t="n">
        <x:v>163.6</x:v>
      </x:c>
      <x:c r="F144" s="38" t="str">
        <x:v>否</x:v>
      </x:c>
      <x:c r="G144" s="38" t="str">
        <x:v>是</x:v>
      </x:c>
      <x:c r="H144" s="49" t="n">
        <x:v>12</x:v>
      </x:c>
      <x:c r="I144" s="49" t="n">
        <x:v>0.3</x:v>
      </x:c>
      <x:c r="J144" s="49" t="str">
        <x:v>无（缘石高差，路侧停车待核）</x:v>
      </x:c>
      <x:c r="K144" s="49" t="n">
        <x:v>3.33</x:v>
      </x:c>
      <x:c r="L144" s="58" t="n">
        <x:f>IF(OR(E144="",K144="",K144=0),"n.a.",E144/K144)</x:f>
        <x:v>49.129129129129126</x:v>
      </x:c>
      <x:c r="M144" s="38" t="str">
        <x:v>00:00—24:00</x:v>
      </x:c>
      <x:c r="N144" s="59" t="n">
        <x:v>0.3</x:v>
      </x:c>
      <x:c r="O144" s="38" t="str">
        <x:v>OSM</x:v>
      </x:c>
      <x:c r="P144" s="38" t="str">
        <x:v>原始社区数据表</x:v>
      </x:c>
      <x:c r="Q144" s="2"/>
      <x:c r="R144" s="2"/>
      <x:c r="S144" s="2"/>
      <x:c r="T144" s="2"/>
      <x:c r="U144" s="2"/>
      <x:c r="V144" s="2"/>
    </x:row>
    <x:row r="145" ht="34" customHeight="1">
      <x:c r="A145" s="38" t="str">
        <x:v>C03-E003</x:v>
      </x:c>
      <x:c r="B145" s="38" t="str">
        <x:v>C03</x:v>
      </x:c>
      <x:c r="C145" s="38" t="str">
        <x:v>C03-R003</x:v>
      </x:c>
      <x:c r="D145" s="38" t="str">
        <x:v>C03-R004</x:v>
      </x:c>
      <x:c r="E145" s="55" t="n">
        <x:v>137.4</x:v>
      </x:c>
      <x:c r="F145" s="38" t="str">
        <x:v>否</x:v>
      </x:c>
      <x:c r="G145" s="38" t="str">
        <x:v>是</x:v>
      </x:c>
      <x:c r="H145" s="49" t="n">
        <x:v>12</x:v>
      </x:c>
      <x:c r="I145" s="49" t="n">
        <x:v>0.3</x:v>
      </x:c>
      <x:c r="J145" s="49" t="str">
        <x:v>无（缘石高差，路侧停车待核）</x:v>
      </x:c>
      <x:c r="K145" s="49" t="n">
        <x:v>3.33</x:v>
      </x:c>
      <x:c r="L145" s="58" t="n">
        <x:f>IF(OR(E145="",K145="",K145=0),"n.a.",E145/K145)</x:f>
        <x:v>41.26126126126126</x:v>
      </x:c>
      <x:c r="M145" s="38" t="str">
        <x:v>00:00—24:00</x:v>
      </x:c>
      <x:c r="N145" s="59" t="n">
        <x:v>0.3</x:v>
      </x:c>
      <x:c r="O145" s="38" t="str">
        <x:v>OSM</x:v>
      </x:c>
      <x:c r="P145" s="38" t="str">
        <x:v>原始社区数据表</x:v>
      </x:c>
      <x:c r="Q145" s="2"/>
      <x:c r="R145" s="2"/>
      <x:c r="S145" s="2"/>
      <x:c r="T145" s="2"/>
      <x:c r="U145" s="2"/>
      <x:c r="V145" s="2"/>
    </x:row>
    <x:row r="146" ht="34" customHeight="1">
      <x:c r="A146" s="38" t="str">
        <x:v>C03-E004</x:v>
      </x:c>
      <x:c r="B146" s="38" t="str">
        <x:v>C03</x:v>
      </x:c>
      <x:c r="C146" s="38" t="str">
        <x:v>C03-R004</x:v>
      </x:c>
      <x:c r="D146" s="38" t="str">
        <x:v>C03-R005</x:v>
      </x:c>
      <x:c r="E146" s="55" t="n">
        <x:v>129.3</x:v>
      </x:c>
      <x:c r="F146" s="38" t="str">
        <x:v>否</x:v>
      </x:c>
      <x:c r="G146" s="38" t="str">
        <x:v>是</x:v>
      </x:c>
      <x:c r="H146" s="49" t="n">
        <x:v>12</x:v>
      </x:c>
      <x:c r="I146" s="49" t="n">
        <x:v>0.3</x:v>
      </x:c>
      <x:c r="J146" s="49" t="str">
        <x:v>无（缘石高差，路侧停车待核）</x:v>
      </x:c>
      <x:c r="K146" s="49" t="n">
        <x:v>3.33</x:v>
      </x:c>
      <x:c r="L146" s="58" t="n">
        <x:f>IF(OR(E146="",K146="",K146=0),"n.a.",E146/K146)</x:f>
        <x:v>38.82882882882883</x:v>
      </x:c>
      <x:c r="M146" s="38" t="str">
        <x:v>00:00—24:00</x:v>
      </x:c>
      <x:c r="N146" s="59" t="n">
        <x:v>0.3</x:v>
      </x:c>
      <x:c r="O146" s="38" t="str">
        <x:v>OSM</x:v>
      </x:c>
      <x:c r="P146" s="38" t="str">
        <x:v>原始社区数据表</x:v>
      </x:c>
      <x:c r="Q146" s="2"/>
      <x:c r="R146" s="2"/>
      <x:c r="S146" s="2"/>
      <x:c r="T146" s="2"/>
      <x:c r="U146" s="2"/>
      <x:c r="V146" s="2"/>
    </x:row>
    <x:row r="147" ht="34" customHeight="1">
      <x:c r="A147" s="38" t="str">
        <x:v>C03-E005</x:v>
      </x:c>
      <x:c r="B147" s="38" t="str">
        <x:v>C03</x:v>
      </x:c>
      <x:c r="C147" s="38" t="str">
        <x:v>C03-R006</x:v>
      </x:c>
      <x:c r="D147" s="38" t="str">
        <x:v>C03-R007</x:v>
      </x:c>
      <x:c r="E147" s="55" t="n">
        <x:v>300.6</x:v>
      </x:c>
      <x:c r="F147" s="38" t="str">
        <x:v>否</x:v>
      </x:c>
      <x:c r="G147" s="38" t="str">
        <x:v>是</x:v>
      </x:c>
      <x:c r="H147" s="49" t="n">
        <x:v>12</x:v>
      </x:c>
      <x:c r="I147" s="49" t="n">
        <x:v>0.3</x:v>
      </x:c>
      <x:c r="J147" s="49" t="str">
        <x:v>无（缘石高差，路侧停车待核）</x:v>
      </x:c>
      <x:c r="K147" s="49" t="n">
        <x:v>3.33</x:v>
      </x:c>
      <x:c r="L147" s="58" t="n">
        <x:f>IF(OR(E147="",K147="",K147=0),"n.a.",E147/K147)</x:f>
        <x:v>90.27027027027027</x:v>
      </x:c>
      <x:c r="M147" s="38" t="str">
        <x:v>00:00—24:00</x:v>
      </x:c>
      <x:c r="N147" s="59" t="n">
        <x:v>0.3</x:v>
      </x:c>
      <x:c r="O147" s="38" t="str">
        <x:v>OSM</x:v>
      </x:c>
      <x:c r="P147" s="38" t="str">
        <x:v>原始社区数据表</x:v>
      </x:c>
      <x:c r="Q147" s="2"/>
      <x:c r="R147" s="2"/>
      <x:c r="S147" s="2"/>
      <x:c r="T147" s="2"/>
      <x:c r="U147" s="2"/>
      <x:c r="V147" s="2"/>
    </x:row>
    <x:row r="148" ht="34" customHeight="1">
      <x:c r="A148" s="38" t="str">
        <x:v>C03-E006</x:v>
      </x:c>
      <x:c r="B148" s="38" t="str">
        <x:v>C03</x:v>
      </x:c>
      <x:c r="C148" s="38" t="str">
        <x:v>C03-R007</x:v>
      </x:c>
      <x:c r="D148" s="38" t="str">
        <x:v>C03-R008</x:v>
      </x:c>
      <x:c r="E148" s="55" t="n">
        <x:v>118.7</x:v>
      </x:c>
      <x:c r="F148" s="38" t="str">
        <x:v>否</x:v>
      </x:c>
      <x:c r="G148" s="38" t="str">
        <x:v>是</x:v>
      </x:c>
      <x:c r="H148" s="49" t="n">
        <x:v>12</x:v>
      </x:c>
      <x:c r="I148" s="49" t="n">
        <x:v>0.3</x:v>
      </x:c>
      <x:c r="J148" s="49" t="str">
        <x:v>无（缘石高差，路侧停车待核）</x:v>
      </x:c>
      <x:c r="K148" s="49" t="n">
        <x:v>3.33</x:v>
      </x:c>
      <x:c r="L148" s="58" t="n">
        <x:f>IF(OR(E148="",K148="",K148=0),"n.a.",E148/K148)</x:f>
        <x:v>35.645645645645644</x:v>
      </x:c>
      <x:c r="M148" s="38" t="str">
        <x:v>00:00—24:00</x:v>
      </x:c>
      <x:c r="N148" s="59" t="n">
        <x:v>0.3</x:v>
      </x:c>
      <x:c r="O148" s="38" t="str">
        <x:v>OSM</x:v>
      </x:c>
      <x:c r="P148" s="38" t="str">
        <x:v>原始社区数据表</x:v>
      </x:c>
      <x:c r="Q148" s="2"/>
      <x:c r="R148" s="2"/>
      <x:c r="S148" s="2"/>
      <x:c r="T148" s="2"/>
      <x:c r="U148" s="2"/>
      <x:c r="V148" s="2"/>
    </x:row>
    <x:row r="149" ht="34" customHeight="1">
      <x:c r="A149" s="38" t="str">
        <x:v>C03-E007</x:v>
      </x:c>
      <x:c r="B149" s="38" t="str">
        <x:v>C03</x:v>
      </x:c>
      <x:c r="C149" s="38" t="str">
        <x:v>C03-R009</x:v>
      </x:c>
      <x:c r="D149" s="38" t="str">
        <x:v>C03-R010</x:v>
      </x:c>
      <x:c r="E149" s="55" t="n">
        <x:v>287.9</x:v>
      </x:c>
      <x:c r="F149" s="38" t="str">
        <x:v>否</x:v>
      </x:c>
      <x:c r="G149" s="38" t="str">
        <x:v>是</x:v>
      </x:c>
      <x:c r="H149" s="49" t="n">
        <x:v>12</x:v>
      </x:c>
      <x:c r="I149" s="49" t="n">
        <x:v>0.3</x:v>
      </x:c>
      <x:c r="J149" s="49" t="str">
        <x:v>无（缘石高差，路侧停车待核）</x:v>
      </x:c>
      <x:c r="K149" s="49" t="n">
        <x:v>3.33</x:v>
      </x:c>
      <x:c r="L149" s="58" t="n">
        <x:f>IF(OR(E149="",K149="",K149=0),"n.a.",E149/K149)</x:f>
        <x:v>86.45645645645645</x:v>
      </x:c>
      <x:c r="M149" s="38" t="str">
        <x:v>00:00—24:00</x:v>
      </x:c>
      <x:c r="N149" s="59" t="n">
        <x:v>0.3</x:v>
      </x:c>
      <x:c r="O149" s="38" t="str">
        <x:v>OSM</x:v>
      </x:c>
      <x:c r="P149" s="38" t="str">
        <x:v>原始社区数据表</x:v>
      </x:c>
      <x:c r="Q149" s="2"/>
      <x:c r="R149" s="2"/>
      <x:c r="S149" s="2"/>
      <x:c r="T149" s="2"/>
      <x:c r="U149" s="2"/>
      <x:c r="V149" s="2"/>
    </x:row>
    <x:row r="150" ht="34" customHeight="1">
      <x:c r="A150" s="38" t="str">
        <x:v>C03-E008</x:v>
      </x:c>
      <x:c r="B150" s="38" t="str">
        <x:v>C03</x:v>
      </x:c>
      <x:c r="C150" s="38" t="str">
        <x:v>C03-R010</x:v>
      </x:c>
      <x:c r="D150" s="38" t="str">
        <x:v>C03-R001</x:v>
      </x:c>
      <x:c r="E150" s="55" t="n">
        <x:v>132</x:v>
      </x:c>
      <x:c r="F150" s="38" t="str">
        <x:v>否</x:v>
      </x:c>
      <x:c r="G150" s="38" t="str">
        <x:v>是</x:v>
      </x:c>
      <x:c r="H150" s="49" t="n">
        <x:v>12</x:v>
      </x:c>
      <x:c r="I150" s="49" t="n">
        <x:v>0.3</x:v>
      </x:c>
      <x:c r="J150" s="49" t="str">
        <x:v>无（缘石高差，路侧停车待核）</x:v>
      </x:c>
      <x:c r="K150" s="49" t="n">
        <x:v>3.33</x:v>
      </x:c>
      <x:c r="L150" s="58" t="n">
        <x:f>IF(OR(E150="",K150="",K150=0),"n.a.",E150/K150)</x:f>
        <x:v>39.63963963963964</x:v>
      </x:c>
      <x:c r="M150" s="38" t="str">
        <x:v>00:00—24:00</x:v>
      </x:c>
      <x:c r="N150" s="59" t="n">
        <x:v>0.3</x:v>
      </x:c>
      <x:c r="O150" s="38" t="str">
        <x:v>OSM</x:v>
      </x:c>
      <x:c r="P150" s="38" t="str">
        <x:v>原始社区数据表</x:v>
      </x:c>
      <x:c r="Q150" s="2"/>
      <x:c r="R150" s="2"/>
      <x:c r="S150" s="2"/>
      <x:c r="T150" s="2"/>
      <x:c r="U150" s="2"/>
      <x:c r="V150" s="2"/>
    </x:row>
    <x:row r="151" ht="34" customHeight="1">
      <x:c r="A151" s="38" t="str">
        <x:v>C03-E009</x:v>
      </x:c>
      <x:c r="B151" s="38" t="str">
        <x:v>C03</x:v>
      </x:c>
      <x:c r="C151" s="38" t="str">
        <x:v>C03-R009</x:v>
      </x:c>
      <x:c r="D151" s="38" t="str">
        <x:v>C03-R008</x:v>
      </x:c>
      <x:c r="E151" s="55" t="n">
        <x:v>19.1</x:v>
      </x:c>
      <x:c r="F151" s="38" t="str">
        <x:v>否</x:v>
      </x:c>
      <x:c r="G151" s="38" t="str">
        <x:v>待核验</x:v>
      </x:c>
      <x:c r="H151" s="49" t="n">
        <x:v>6</x:v>
      </x:c>
      <x:c r="I151" s="49" t="n">
        <x:v>0.3</x:v>
      </x:c>
      <x:c r="J151" s="49" t="str">
        <x:v>待核验（可能设路桩、台阶）</x:v>
      </x:c>
      <x:c r="K151" s="49" t="n">
        <x:v>2.78</x:v>
      </x:c>
      <x:c r="L151" s="58" t="n">
        <x:f>IF(OR(E151="",K151="",K151=0),"n.a.",E151/K151)</x:f>
        <x:v>6.870503597122303</x:v>
      </x:c>
      <x:c r="M151" s="38" t="str">
        <x:v>06:00—23:00（推定）</x:v>
      </x:c>
      <x:c r="N151" s="59" t="n">
        <x:v>0.4</x:v>
      </x:c>
      <x:c r="O151" s="38" t="str">
        <x:v>OSM</x:v>
      </x:c>
      <x:c r="P151" s="38" t="str">
        <x:v>原始社区数据表</x:v>
      </x:c>
      <x:c r="Q151" s="2"/>
      <x:c r="R151" s="2"/>
      <x:c r="S151" s="2"/>
      <x:c r="T151" s="2"/>
      <x:c r="U151" s="2"/>
      <x:c r="V151" s="2"/>
    </x:row>
    <x:row r="152" ht="34" customHeight="1">
      <x:c r="A152" s="38" t="str">
        <x:v>C03-E010</x:v>
      </x:c>
      <x:c r="B152" s="38" t="str">
        <x:v>C03</x:v>
      </x:c>
      <x:c r="C152" s="38" t="str">
        <x:v>C03-R011</x:v>
      </x:c>
      <x:c r="D152" s="38" t="str">
        <x:v>C03-R009</x:v>
      </x:c>
      <x:c r="E152" s="55" t="n">
        <x:v>7</x:v>
      </x:c>
      <x:c r="F152" s="38" t="str">
        <x:v>否</x:v>
      </x:c>
      <x:c r="G152" s="38" t="str">
        <x:v>待核验</x:v>
      </x:c>
      <x:c r="H152" s="49" t="n">
        <x:v>6</x:v>
      </x:c>
      <x:c r="I152" s="49" t="n">
        <x:v>0.3</x:v>
      </x:c>
      <x:c r="J152" s="49" t="str">
        <x:v>待核验（可能设路桩、台阶）</x:v>
      </x:c>
      <x:c r="K152" s="49" t="n">
        <x:v>2.78</x:v>
      </x:c>
      <x:c r="L152" s="58" t="n">
        <x:f>IF(OR(E152="",K152="",K152=0),"n.a.",E152/K152)</x:f>
        <x:v>2.5179856115107917</x:v>
      </x:c>
      <x:c r="M152" s="38" t="str">
        <x:v>06:00—23:00（推定）</x:v>
      </x:c>
      <x:c r="N152" s="59" t="n">
        <x:v>0.4</x:v>
      </x:c>
      <x:c r="O152" s="38" t="str">
        <x:v>OSM</x:v>
      </x:c>
      <x:c r="P152" s="38" t="str">
        <x:v>原始社区数据表</x:v>
      </x:c>
      <x:c r="Q152" s="2"/>
      <x:c r="R152" s="2"/>
      <x:c r="S152" s="2"/>
      <x:c r="T152" s="2"/>
      <x:c r="U152" s="2"/>
      <x:c r="V152" s="2"/>
    </x:row>
    <x:row r="153" ht="34" customHeight="1">
      <x:c r="A153" s="38" t="str">
        <x:v>C03-E011</x:v>
      </x:c>
      <x:c r="B153" s="38" t="str">
        <x:v>C03</x:v>
      </x:c>
      <x:c r="C153" s="38" t="str">
        <x:v>C03-R012</x:v>
      </x:c>
      <x:c r="D153" s="38" t="str">
        <x:v>C03-R011</x:v>
      </x:c>
      <x:c r="E153" s="55" t="n">
        <x:v>19.3</x:v>
      </x:c>
      <x:c r="F153" s="38" t="str">
        <x:v>否</x:v>
      </x:c>
      <x:c r="G153" s="38" t="str">
        <x:v>待核验</x:v>
      </x:c>
      <x:c r="H153" s="49" t="n">
        <x:v>6</x:v>
      </x:c>
      <x:c r="I153" s="49" t="n">
        <x:v>0.3</x:v>
      </x:c>
      <x:c r="J153" s="49" t="str">
        <x:v>待核验（可能设路桩、台阶）</x:v>
      </x:c>
      <x:c r="K153" s="49" t="n">
        <x:v>2.78</x:v>
      </x:c>
      <x:c r="L153" s="58" t="n">
        <x:f>IF(OR(E153="",K153="",K153=0),"n.a.",E153/K153)</x:f>
        <x:v>6.942446043165468</x:v>
      </x:c>
      <x:c r="M153" s="38" t="str">
        <x:v>06:00—23:00（推定）</x:v>
      </x:c>
      <x:c r="N153" s="59" t="n">
        <x:v>0.4</x:v>
      </x:c>
      <x:c r="O153" s="38" t="str">
        <x:v>OSM</x:v>
      </x:c>
      <x:c r="P153" s="38" t="str">
        <x:v>原始社区数据表</x:v>
      </x:c>
      <x:c r="Q153" s="2"/>
      <x:c r="R153" s="2"/>
      <x:c r="S153" s="2"/>
      <x:c r="T153" s="2"/>
      <x:c r="U153" s="2"/>
      <x:c r="V153" s="2"/>
    </x:row>
    <x:row r="154" ht="34" customHeight="1">
      <x:c r="A154" s="38" t="str">
        <x:v>C03-E012</x:v>
      </x:c>
      <x:c r="B154" s="38" t="str">
        <x:v>C03</x:v>
      </x:c>
      <x:c r="C154" s="38" t="str">
        <x:v>C03-R013</x:v>
      </x:c>
      <x:c r="D154" s="38" t="str">
        <x:v>C03-R014</x:v>
      </x:c>
      <x:c r="E154" s="55" t="n">
        <x:v>38</x:v>
      </x:c>
      <x:c r="F154" s="38" t="str">
        <x:v>否</x:v>
      </x:c>
      <x:c r="G154" s="38" t="str">
        <x:v>是</x:v>
      </x:c>
      <x:c r="H154" s="49" t="n">
        <x:v>7.5</x:v>
      </x:c>
      <x:c r="I154" s="49" t="n">
        <x:v>0.3</x:v>
      </x:c>
      <x:c r="J154" s="49" t="str">
        <x:v>无（缘石高差，路侧停车待核）</x:v>
      </x:c>
      <x:c r="K154" s="49" t="n">
        <x:v>3.33</x:v>
      </x:c>
      <x:c r="L154" s="58" t="n">
        <x:f>IF(OR(E154="",K154="",K154=0),"n.a.",E154/K154)</x:f>
        <x:v>11.411411411411411</x:v>
      </x:c>
      <x:c r="M154" s="38" t="str">
        <x:v>00:00—24:00</x:v>
      </x:c>
      <x:c r="N154" s="59" t="n">
        <x:v>0.3</x:v>
      </x:c>
      <x:c r="O154" s="38" t="str">
        <x:v>OSM</x:v>
      </x:c>
      <x:c r="P154" s="38" t="str">
        <x:v>原始社区数据表</x:v>
      </x:c>
      <x:c r="Q154" s="2"/>
      <x:c r="R154" s="2"/>
      <x:c r="S154" s="2"/>
      <x:c r="T154" s="2"/>
      <x:c r="U154" s="2"/>
      <x:c r="V154" s="2"/>
    </x:row>
    <x:row r="155" ht="34" customHeight="1">
      <x:c r="A155" s="38" t="str">
        <x:v>C03-E013</x:v>
      </x:c>
      <x:c r="B155" s="38" t="str">
        <x:v>C03</x:v>
      </x:c>
      <x:c r="C155" s="38" t="str">
        <x:v>C03-R014</x:v>
      </x:c>
      <x:c r="D155" s="38" t="str">
        <x:v>C03-R015</x:v>
      </x:c>
      <x:c r="E155" s="55" t="n">
        <x:v>26.8</x:v>
      </x:c>
      <x:c r="F155" s="38" t="str">
        <x:v>否</x:v>
      </x:c>
      <x:c r="G155" s="38" t="str">
        <x:v>是</x:v>
      </x:c>
      <x:c r="H155" s="49" t="n">
        <x:v>7.5</x:v>
      </x:c>
      <x:c r="I155" s="49" t="n">
        <x:v>0.3</x:v>
      </x:c>
      <x:c r="J155" s="49" t="str">
        <x:v>无（缘石高差，路侧停车待核）</x:v>
      </x:c>
      <x:c r="K155" s="49" t="n">
        <x:v>3.33</x:v>
      </x:c>
      <x:c r="L155" s="58" t="n">
        <x:f>IF(OR(E155="",K155="",K155=0),"n.a.",E155/K155)</x:f>
        <x:v>8.048048048048049</x:v>
      </x:c>
      <x:c r="M155" s="38" t="str">
        <x:v>00:00—24:00</x:v>
      </x:c>
      <x:c r="N155" s="59" t="n">
        <x:v>0.3</x:v>
      </x:c>
      <x:c r="O155" s="38" t="str">
        <x:v>OSM</x:v>
      </x:c>
      <x:c r="P155" s="38" t="str">
        <x:v>原始社区数据表</x:v>
      </x:c>
      <x:c r="Q155" s="2"/>
      <x:c r="R155" s="2"/>
      <x:c r="S155" s="2"/>
      <x:c r="T155" s="2"/>
      <x:c r="U155" s="2"/>
      <x:c r="V155" s="2"/>
    </x:row>
    <x:row r="156" ht="34" customHeight="1">
      <x:c r="A156" s="38" t="str">
        <x:v>C03-E014</x:v>
      </x:c>
      <x:c r="B156" s="38" t="str">
        <x:v>C03</x:v>
      </x:c>
      <x:c r="C156" s="38" t="str">
        <x:v>C03-R015</x:v>
      </x:c>
      <x:c r="D156" s="38" t="str">
        <x:v>C03-R016</x:v>
      </x:c>
      <x:c r="E156" s="55" t="n">
        <x:v>83.9</x:v>
      </x:c>
      <x:c r="F156" s="38" t="str">
        <x:v>否</x:v>
      </x:c>
      <x:c r="G156" s="38" t="str">
        <x:v>是</x:v>
      </x:c>
      <x:c r="H156" s="49" t="n">
        <x:v>7.5</x:v>
      </x:c>
      <x:c r="I156" s="49" t="n">
        <x:v>0.3</x:v>
      </x:c>
      <x:c r="J156" s="49" t="str">
        <x:v>无（缘石高差，路侧停车待核）</x:v>
      </x:c>
      <x:c r="K156" s="49" t="n">
        <x:v>3.33</x:v>
      </x:c>
      <x:c r="L156" s="58" t="n">
        <x:f>IF(OR(E156="",K156="",K156=0),"n.a.",E156/K156)</x:f>
        <x:v>25.195195195195197</x:v>
      </x:c>
      <x:c r="M156" s="38" t="str">
        <x:v>00:00—24:00</x:v>
      </x:c>
      <x:c r="N156" s="59" t="n">
        <x:v>0.3</x:v>
      </x:c>
      <x:c r="O156" s="38" t="str">
        <x:v>OSM</x:v>
      </x:c>
      <x:c r="P156" s="38" t="str">
        <x:v>原始社区数据表</x:v>
      </x:c>
      <x:c r="Q156" s="2"/>
      <x:c r="R156" s="2"/>
      <x:c r="S156" s="2"/>
      <x:c r="T156" s="2"/>
      <x:c r="U156" s="2"/>
      <x:c r="V156" s="2"/>
    </x:row>
    <x:row r="157" ht="34" customHeight="1">
      <x:c r="A157" s="38" t="str">
        <x:v>C03-E015</x:v>
      </x:c>
      <x:c r="B157" s="38" t="str">
        <x:v>C03</x:v>
      </x:c>
      <x:c r="C157" s="38" t="str">
        <x:v>C03-R011</x:v>
      </x:c>
      <x:c r="D157" s="38" t="str">
        <x:v>C03-R017</x:v>
      </x:c>
      <x:c r="E157" s="55" t="n">
        <x:v>14.3</x:v>
      </x:c>
      <x:c r="F157" s="38" t="str">
        <x:v>否</x:v>
      </x:c>
      <x:c r="G157" s="38" t="str">
        <x:v>是</x:v>
      </x:c>
      <x:c r="H157" s="49" t="n">
        <x:v>7.5</x:v>
      </x:c>
      <x:c r="I157" s="49" t="n">
        <x:v>0.3</x:v>
      </x:c>
      <x:c r="J157" s="49" t="str">
        <x:v>无（缘石高差，路侧停车待核）</x:v>
      </x:c>
      <x:c r="K157" s="49" t="n">
        <x:v>3.33</x:v>
      </x:c>
      <x:c r="L157" s="58" t="n">
        <x:f>IF(OR(E157="",K157="",K157=0),"n.a.",E157/K157)</x:f>
        <x:v>4.2942942942942945</x:v>
      </x:c>
      <x:c r="M157" s="38" t="str">
        <x:v>00:00—24:00</x:v>
      </x:c>
      <x:c r="N157" s="59" t="n">
        <x:v>0.3</x:v>
      </x:c>
      <x:c r="O157" s="38" t="str">
        <x:v>OSM</x:v>
      </x:c>
      <x:c r="P157" s="38" t="str">
        <x:v>原始社区数据表</x:v>
      </x:c>
      <x:c r="Q157" s="2"/>
      <x:c r="R157" s="2"/>
      <x:c r="S157" s="2"/>
      <x:c r="T157" s="2"/>
      <x:c r="U157" s="2"/>
      <x:c r="V157" s="2"/>
    </x:row>
    <x:row r="158" ht="34" customHeight="1">
      <x:c r="A158" s="38" t="str">
        <x:v>C03-E016</x:v>
      </x:c>
      <x:c r="B158" s="38" t="str">
        <x:v>C03</x:v>
      </x:c>
      <x:c r="C158" s="38" t="str">
        <x:v>C03-R017</x:v>
      </x:c>
      <x:c r="D158" s="38" t="str">
        <x:v>C03-R018</x:v>
      </x:c>
      <x:c r="E158" s="55" t="n">
        <x:v>54.3</x:v>
      </x:c>
      <x:c r="F158" s="38" t="str">
        <x:v>否</x:v>
      </x:c>
      <x:c r="G158" s="38" t="str">
        <x:v>是</x:v>
      </x:c>
      <x:c r="H158" s="49" t="n">
        <x:v>7.5</x:v>
      </x:c>
      <x:c r="I158" s="49" t="n">
        <x:v>0.3</x:v>
      </x:c>
      <x:c r="J158" s="49" t="str">
        <x:v>无（缘石高差，路侧停车待核）</x:v>
      </x:c>
      <x:c r="K158" s="49" t="n">
        <x:v>3.33</x:v>
      </x:c>
      <x:c r="L158" s="58" t="n">
        <x:f>IF(OR(E158="",K158="",K158=0),"n.a.",E158/K158)</x:f>
        <x:v>16.306306306306304</x:v>
      </x:c>
      <x:c r="M158" s="38" t="str">
        <x:v>00:00—24:00</x:v>
      </x:c>
      <x:c r="N158" s="59" t="n">
        <x:v>0.3</x:v>
      </x:c>
      <x:c r="O158" s="38" t="str">
        <x:v>OSM</x:v>
      </x:c>
      <x:c r="P158" s="38" t="str">
        <x:v>原始社区数据表</x:v>
      </x:c>
      <x:c r="Q158" s="2"/>
      <x:c r="R158" s="2"/>
      <x:c r="S158" s="2"/>
      <x:c r="T158" s="2"/>
      <x:c r="U158" s="2"/>
      <x:c r="V158" s="2"/>
    </x:row>
    <x:row r="159" ht="34" customHeight="1">
      <x:c r="A159" s="38" t="str">
        <x:v>C03-E017</x:v>
      </x:c>
      <x:c r="B159" s="38" t="str">
        <x:v>C03</x:v>
      </x:c>
      <x:c r="C159" s="38" t="str">
        <x:v>C03-R018</x:v>
      </x:c>
      <x:c r="D159" s="38" t="str">
        <x:v>C03-R013</x:v>
      </x:c>
      <x:c r="E159" s="55" t="n">
        <x:v>74.1</x:v>
      </x:c>
      <x:c r="F159" s="38" t="str">
        <x:v>否</x:v>
      </x:c>
      <x:c r="G159" s="38" t="str">
        <x:v>是</x:v>
      </x:c>
      <x:c r="H159" s="49" t="n">
        <x:v>7.5</x:v>
      </x:c>
      <x:c r="I159" s="49" t="n">
        <x:v>0.3</x:v>
      </x:c>
      <x:c r="J159" s="49" t="str">
        <x:v>无（缘石高差，路侧停车待核）</x:v>
      </x:c>
      <x:c r="K159" s="49" t="n">
        <x:v>3.33</x:v>
      </x:c>
      <x:c r="L159" s="58" t="n">
        <x:f>IF(OR(E159="",K159="",K159=0),"n.a.",E159/K159)</x:f>
        <x:v>22.25225225225225</x:v>
      </x:c>
      <x:c r="M159" s="38" t="str">
        <x:v>00:00—24:00</x:v>
      </x:c>
      <x:c r="N159" s="59" t="n">
        <x:v>0.3</x:v>
      </x:c>
      <x:c r="O159" s="38" t="str">
        <x:v>OSM</x:v>
      </x:c>
      <x:c r="P159" s="38" t="str">
        <x:v>原始社区数据表</x:v>
      </x:c>
      <x:c r="Q159" s="2"/>
      <x:c r="R159" s="2"/>
      <x:c r="S159" s="2"/>
      <x:c r="T159" s="2"/>
      <x:c r="U159" s="2"/>
      <x:c r="V159" s="2"/>
    </x:row>
    <x:row r="160" ht="34" customHeight="1">
      <x:c r="A160" s="38" t="str">
        <x:v>C03-E018</x:v>
      </x:c>
      <x:c r="B160" s="38" t="str">
        <x:v>C03</x:v>
      </x:c>
      <x:c r="C160" s="38" t="str">
        <x:v>C03-R019</x:v>
      </x:c>
      <x:c r="D160" s="38" t="str">
        <x:v>C03-R020</x:v>
      </x:c>
      <x:c r="E160" s="55" t="n">
        <x:v>43.9</x:v>
      </x:c>
      <x:c r="F160" s="38" t="str">
        <x:v>是</x:v>
      </x:c>
      <x:c r="G160" s="38" t="str">
        <x:v>是</x:v>
      </x:c>
      <x:c r="H160" s="49" t="n">
        <x:v>7.5</x:v>
      </x:c>
      <x:c r="I160" s="49" t="n">
        <x:v>0.3</x:v>
      </x:c>
      <x:c r="J160" s="49" t="str">
        <x:v>无（缘石高差，路侧停车待核）</x:v>
      </x:c>
      <x:c r="K160" s="49" t="n">
        <x:v>3.33</x:v>
      </x:c>
      <x:c r="L160" s="58" t="n">
        <x:f>IF(OR(E160="",K160="",K160=0),"n.a.",E160/K160)</x:f>
        <x:v>13.183183183183182</x:v>
      </x:c>
      <x:c r="M160" s="38" t="str">
        <x:v>00:00—24:00</x:v>
      </x:c>
      <x:c r="N160" s="59" t="n">
        <x:v>0.3</x:v>
      </x:c>
      <x:c r="O160" s="38" t="str">
        <x:v>OSM</x:v>
      </x:c>
      <x:c r="P160" s="38" t="str">
        <x:v>原始社区数据表</x:v>
      </x:c>
      <x:c r="Q160" s="2"/>
      <x:c r="R160" s="2"/>
      <x:c r="S160" s="2"/>
      <x:c r="T160" s="2"/>
      <x:c r="U160" s="2"/>
      <x:c r="V160" s="2"/>
    </x:row>
    <x:row r="161" ht="34" customHeight="1">
      <x:c r="A161" s="38" t="str">
        <x:v>C03-E019</x:v>
      </x:c>
      <x:c r="B161" s="38" t="str">
        <x:v>C03</x:v>
      </x:c>
      <x:c r="C161" s="38" t="str">
        <x:v>C03-R020</x:v>
      </x:c>
      <x:c r="D161" s="38" t="str">
        <x:v>C03-R021</x:v>
      </x:c>
      <x:c r="E161" s="55" t="n">
        <x:v>12</x:v>
      </x:c>
      <x:c r="F161" s="38" t="str">
        <x:v>是</x:v>
      </x:c>
      <x:c r="G161" s="38" t="str">
        <x:v>是</x:v>
      </x:c>
      <x:c r="H161" s="49" t="n">
        <x:v>7.5</x:v>
      </x:c>
      <x:c r="I161" s="49" t="n">
        <x:v>0.3</x:v>
      </x:c>
      <x:c r="J161" s="49" t="str">
        <x:v>无（缘石高差，路侧停车待核）</x:v>
      </x:c>
      <x:c r="K161" s="49" t="n">
        <x:v>3.33</x:v>
      </x:c>
      <x:c r="L161" s="58" t="n">
        <x:f>IF(OR(E161="",K161="",K161=0),"n.a.",E161/K161)</x:f>
        <x:v>3.6036036036036037</x:v>
      </x:c>
      <x:c r="M161" s="38" t="str">
        <x:v>00:00—24:00</x:v>
      </x:c>
      <x:c r="N161" s="59" t="n">
        <x:v>0.3</x:v>
      </x:c>
      <x:c r="O161" s="38" t="str">
        <x:v>OSM</x:v>
      </x:c>
      <x:c r="P161" s="38" t="str">
        <x:v>原始社区数据表</x:v>
      </x:c>
      <x:c r="Q161" s="2"/>
      <x:c r="R161" s="2"/>
      <x:c r="S161" s="2"/>
      <x:c r="T161" s="2"/>
      <x:c r="U161" s="2"/>
      <x:c r="V161" s="2"/>
    </x:row>
    <x:row r="162" ht="34" customHeight="1">
      <x:c r="A162" s="38" t="str">
        <x:v>C03-E020</x:v>
      </x:c>
      <x:c r="B162" s="38" t="str">
        <x:v>C03</x:v>
      </x:c>
      <x:c r="C162" s="38" t="str">
        <x:v>C03-R021</x:v>
      </x:c>
      <x:c r="D162" s="38" t="str">
        <x:v>C03-R022</x:v>
      </x:c>
      <x:c r="E162" s="55" t="n">
        <x:v>30.4</x:v>
      </x:c>
      <x:c r="F162" s="38" t="str">
        <x:v>是</x:v>
      </x:c>
      <x:c r="G162" s="38" t="str">
        <x:v>是</x:v>
      </x:c>
      <x:c r="H162" s="49" t="n">
        <x:v>7.5</x:v>
      </x:c>
      <x:c r="I162" s="49" t="n">
        <x:v>0.3</x:v>
      </x:c>
      <x:c r="J162" s="49" t="str">
        <x:v>无（缘石高差，路侧停车待核）</x:v>
      </x:c>
      <x:c r="K162" s="49" t="n">
        <x:v>3.33</x:v>
      </x:c>
      <x:c r="L162" s="58" t="n">
        <x:f>IF(OR(E162="",K162="",K162=0),"n.a.",E162/K162)</x:f>
        <x:v>9.129129129129128</x:v>
      </x:c>
      <x:c r="M162" s="38" t="str">
        <x:v>00:00—24:00</x:v>
      </x:c>
      <x:c r="N162" s="59" t="n">
        <x:v>0.3</x:v>
      </x:c>
      <x:c r="O162" s="38" t="str">
        <x:v>OSM</x:v>
      </x:c>
      <x:c r="P162" s="38" t="str">
        <x:v>原始社区数据表</x:v>
      </x:c>
      <x:c r="Q162" s="2"/>
      <x:c r="R162" s="2"/>
      <x:c r="S162" s="2"/>
      <x:c r="T162" s="2"/>
      <x:c r="U162" s="2"/>
      <x:c r="V162" s="2"/>
    </x:row>
    <x:row r="163" ht="34" customHeight="1">
      <x:c r="A163" s="38" t="str">
        <x:v>C03-E021</x:v>
      </x:c>
      <x:c r="B163" s="38" t="str">
        <x:v>C03</x:v>
      </x:c>
      <x:c r="C163" s="38" t="str">
        <x:v>C03-R022</x:v>
      </x:c>
      <x:c r="D163" s="38" t="str">
        <x:v>C03-R023</x:v>
      </x:c>
      <x:c r="E163" s="55" t="n">
        <x:v>30.4</x:v>
      </x:c>
      <x:c r="F163" s="38" t="str">
        <x:v>是</x:v>
      </x:c>
      <x:c r="G163" s="38" t="str">
        <x:v>是</x:v>
      </x:c>
      <x:c r="H163" s="49" t="n">
        <x:v>7.5</x:v>
      </x:c>
      <x:c r="I163" s="49" t="n">
        <x:v>0.3</x:v>
      </x:c>
      <x:c r="J163" s="49" t="str">
        <x:v>无（缘石高差，路侧停车待核）</x:v>
      </x:c>
      <x:c r="K163" s="49" t="n">
        <x:v>3.33</x:v>
      </x:c>
      <x:c r="L163" s="58" t="n">
        <x:f>IF(OR(E163="",K163="",K163=0),"n.a.",E163/K163)</x:f>
        <x:v>9.129129129129128</x:v>
      </x:c>
      <x:c r="M163" s="38" t="str">
        <x:v>00:00—24:00</x:v>
      </x:c>
      <x:c r="N163" s="59" t="n">
        <x:v>0.3</x:v>
      </x:c>
      <x:c r="O163" s="38" t="str">
        <x:v>OSM</x:v>
      </x:c>
      <x:c r="P163" s="38" t="str">
        <x:v>原始社区数据表</x:v>
      </x:c>
      <x:c r="Q163" s="2"/>
      <x:c r="R163" s="2"/>
      <x:c r="S163" s="2"/>
      <x:c r="T163" s="2"/>
      <x:c r="U163" s="2"/>
      <x:c r="V163" s="2"/>
    </x:row>
    <x:row r="164" ht="34" customHeight="1">
      <x:c r="A164" s="38" t="str">
        <x:v>C03-E022</x:v>
      </x:c>
      <x:c r="B164" s="38" t="str">
        <x:v>C03</x:v>
      </x:c>
      <x:c r="C164" s="38" t="str">
        <x:v>C03-R023</x:v>
      </x:c>
      <x:c r="D164" s="38" t="str">
        <x:v>C03-R024</x:v>
      </x:c>
      <x:c r="E164" s="55" t="n">
        <x:v>28.8</x:v>
      </x:c>
      <x:c r="F164" s="38" t="str">
        <x:v>是</x:v>
      </x:c>
      <x:c r="G164" s="38" t="str">
        <x:v>是</x:v>
      </x:c>
      <x:c r="H164" s="49" t="n">
        <x:v>7.5</x:v>
      </x:c>
      <x:c r="I164" s="49" t="n">
        <x:v>0.3</x:v>
      </x:c>
      <x:c r="J164" s="49" t="str">
        <x:v>无（缘石高差，路侧停车待核）</x:v>
      </x:c>
      <x:c r="K164" s="49" t="n">
        <x:v>3.33</x:v>
      </x:c>
      <x:c r="L164" s="58" t="n">
        <x:f>IF(OR(E164="",K164="",K164=0),"n.a.",E164/K164)</x:f>
        <x:v>8.64864864864865</x:v>
      </x:c>
      <x:c r="M164" s="38" t="str">
        <x:v>00:00—24:00</x:v>
      </x:c>
      <x:c r="N164" s="59" t="n">
        <x:v>0.3</x:v>
      </x:c>
      <x:c r="O164" s="38" t="str">
        <x:v>OSM</x:v>
      </x:c>
      <x:c r="P164" s="38" t="str">
        <x:v>原始社区数据表</x:v>
      </x:c>
      <x:c r="Q164" s="2"/>
      <x:c r="R164" s="2"/>
      <x:c r="S164" s="2"/>
      <x:c r="T164" s="2"/>
      <x:c r="U164" s="2"/>
      <x:c r="V164" s="2"/>
    </x:row>
    <x:row r="165" ht="34" customHeight="1">
      <x:c r="A165" s="38" t="str">
        <x:v>C03-E023</x:v>
      </x:c>
      <x:c r="B165" s="38" t="str">
        <x:v>C03</x:v>
      </x:c>
      <x:c r="C165" s="38" t="str">
        <x:v>C03-R026</x:v>
      </x:c>
      <x:c r="D165" s="38" t="str">
        <x:v>C03-R027</x:v>
      </x:c>
      <x:c r="E165" s="55" t="n">
        <x:v>214.7</x:v>
      </x:c>
      <x:c r="F165" s="38" t="str">
        <x:v>是</x:v>
      </x:c>
      <x:c r="G165" s="38" t="str">
        <x:v>是</x:v>
      </x:c>
      <x:c r="H165" s="49" t="n">
        <x:v>7.5</x:v>
      </x:c>
      <x:c r="I165" s="49" t="n">
        <x:v>0.3</x:v>
      </x:c>
      <x:c r="J165" s="49" t="str">
        <x:v>无（缘石高差，路侧停车待核）</x:v>
      </x:c>
      <x:c r="K165" s="49" t="n">
        <x:v>3.33</x:v>
      </x:c>
      <x:c r="L165" s="58" t="n">
        <x:f>IF(OR(E165="",K165="",K165=0),"n.a.",E165/K165)</x:f>
        <x:v>64.47447447447448</x:v>
      </x:c>
      <x:c r="M165" s="38" t="str">
        <x:v>00:00—24:00</x:v>
      </x:c>
      <x:c r="N165" s="59" t="n">
        <x:v>0.3</x:v>
      </x:c>
      <x:c r="O165" s="38" t="str">
        <x:v>OSM</x:v>
      </x:c>
      <x:c r="P165" s="38" t="str">
        <x:v>原始社区数据表</x:v>
      </x:c>
      <x:c r="Q165" s="2"/>
      <x:c r="R165" s="2"/>
      <x:c r="S165" s="2"/>
      <x:c r="T165" s="2"/>
      <x:c r="U165" s="2"/>
      <x:c r="V165" s="2"/>
    </x:row>
    <x:row r="166" ht="34" customHeight="1">
      <x:c r="A166" s="38" t="str">
        <x:v>C03-E024</x:v>
      </x:c>
      <x:c r="B166" s="38" t="str">
        <x:v>C03</x:v>
      </x:c>
      <x:c r="C166" s="38" t="str">
        <x:v>C03-R027</x:v>
      </x:c>
      <x:c r="D166" s="38" t="str">
        <x:v>C03-R028</x:v>
      </x:c>
      <x:c r="E166" s="55" t="n">
        <x:v>11.9</x:v>
      </x:c>
      <x:c r="F166" s="38" t="str">
        <x:v>是</x:v>
      </x:c>
      <x:c r="G166" s="38" t="str">
        <x:v>是</x:v>
      </x:c>
      <x:c r="H166" s="49" t="n">
        <x:v>7.5</x:v>
      </x:c>
      <x:c r="I166" s="49" t="n">
        <x:v>0.3</x:v>
      </x:c>
      <x:c r="J166" s="49" t="str">
        <x:v>无（缘石高差，路侧停车待核）</x:v>
      </x:c>
      <x:c r="K166" s="49" t="n">
        <x:v>3.33</x:v>
      </x:c>
      <x:c r="L166" s="58" t="n">
        <x:f>IF(OR(E166="",K166="",K166=0),"n.a.",E166/K166)</x:f>
        <x:v>3.5735735735735736</x:v>
      </x:c>
      <x:c r="M166" s="38" t="str">
        <x:v>00:00—24:00</x:v>
      </x:c>
      <x:c r="N166" s="59" t="n">
        <x:v>0.3</x:v>
      </x:c>
      <x:c r="O166" s="38" t="str">
        <x:v>OSM</x:v>
      </x:c>
      <x:c r="P166" s="38" t="str">
        <x:v>原始社区数据表</x:v>
      </x:c>
      <x:c r="Q166" s="2"/>
      <x:c r="R166" s="2"/>
      <x:c r="S166" s="2"/>
      <x:c r="T166" s="2"/>
      <x:c r="U166" s="2"/>
      <x:c r="V166" s="2"/>
    </x:row>
    <x:row r="167" ht="34" customHeight="1">
      <x:c r="A167" s="38" t="str">
        <x:v>C03-E025</x:v>
      </x:c>
      <x:c r="B167" s="38" t="str">
        <x:v>C03</x:v>
      </x:c>
      <x:c r="C167" s="38" t="str">
        <x:v>C03-R028</x:v>
      </x:c>
      <x:c r="D167" s="38" t="str">
        <x:v>C03-R029</x:v>
      </x:c>
      <x:c r="E167" s="55" t="n">
        <x:v>122.6</x:v>
      </x:c>
      <x:c r="F167" s="38" t="str">
        <x:v>是</x:v>
      </x:c>
      <x:c r="G167" s="38" t="str">
        <x:v>是</x:v>
      </x:c>
      <x:c r="H167" s="49" t="n">
        <x:v>7.5</x:v>
      </x:c>
      <x:c r="I167" s="49" t="n">
        <x:v>0.3</x:v>
      </x:c>
      <x:c r="J167" s="49" t="str">
        <x:v>无（缘石高差，路侧停车待核）</x:v>
      </x:c>
      <x:c r="K167" s="49" t="n">
        <x:v>3.33</x:v>
      </x:c>
      <x:c r="L167" s="58" t="n">
        <x:f>IF(OR(E167="",K167="",K167=0),"n.a.",E167/K167)</x:f>
        <x:v>36.81681681681681</x:v>
      </x:c>
      <x:c r="M167" s="38" t="str">
        <x:v>00:00—24:00</x:v>
      </x:c>
      <x:c r="N167" s="59" t="n">
        <x:v>0.3</x:v>
      </x:c>
      <x:c r="O167" s="38" t="str">
        <x:v>OSM</x:v>
      </x:c>
      <x:c r="P167" s="38" t="str">
        <x:v>原始社区数据表</x:v>
      </x:c>
      <x:c r="Q167" s="2"/>
      <x:c r="R167" s="2"/>
      <x:c r="S167" s="2"/>
      <x:c r="T167" s="2"/>
      <x:c r="U167" s="2"/>
      <x:c r="V167" s="2"/>
    </x:row>
    <x:row r="168" ht="34" customHeight="1">
      <x:c r="A168" s="38" t="str">
        <x:v>C03-E026</x:v>
      </x:c>
      <x:c r="B168" s="38" t="str">
        <x:v>C03</x:v>
      </x:c>
      <x:c r="C168" s="38" t="str">
        <x:v>C03-R026</x:v>
      </x:c>
      <x:c r="D168" s="38" t="str">
        <x:v>C03-R030</x:v>
      </x:c>
      <x:c r="E168" s="55" t="n">
        <x:v>22.4</x:v>
      </x:c>
      <x:c r="F168" s="38" t="str">
        <x:v>否</x:v>
      </x:c>
      <x:c r="G168" s="38" t="str">
        <x:v>是</x:v>
      </x:c>
      <x:c r="H168" s="49" t="n">
        <x:v>7.5</x:v>
      </x:c>
      <x:c r="I168" s="49" t="n">
        <x:v>0.3</x:v>
      </x:c>
      <x:c r="J168" s="49" t="str">
        <x:v>无（缘石高差，路侧停车待核）</x:v>
      </x:c>
      <x:c r="K168" s="49" t="n">
        <x:v>3.33</x:v>
      </x:c>
      <x:c r="L168" s="58" t="n">
        <x:f>IF(OR(E168="",K168="",K168=0),"n.a.",E168/K168)</x:f>
        <x:v>6.726726726726726</x:v>
      </x:c>
      <x:c r="M168" s="38" t="str">
        <x:v>00:00—24:00</x:v>
      </x:c>
      <x:c r="N168" s="59" t="n">
        <x:v>0.3</x:v>
      </x:c>
      <x:c r="O168" s="38" t="str">
        <x:v>OSM</x:v>
      </x:c>
      <x:c r="P168" s="38" t="str">
        <x:v>原始社区数据表</x:v>
      </x:c>
      <x:c r="Q168" s="2"/>
      <x:c r="R168" s="2"/>
      <x:c r="S168" s="2"/>
      <x:c r="T168" s="2"/>
      <x:c r="U168" s="2"/>
      <x:c r="V168" s="2"/>
    </x:row>
    <x:row r="169" ht="34" customHeight="1">
      <x:c r="A169" s="38" t="str">
        <x:v>C03-E027</x:v>
      </x:c>
      <x:c r="B169" s="38" t="str">
        <x:v>C03</x:v>
      </x:c>
      <x:c r="C169" s="38" t="str">
        <x:v>C03-R030</x:v>
      </x:c>
      <x:c r="D169" s="38" t="str">
        <x:v>C03-R031</x:v>
      </x:c>
      <x:c r="E169" s="55" t="n">
        <x:v>59.8</x:v>
      </x:c>
      <x:c r="F169" s="38" t="str">
        <x:v>否</x:v>
      </x:c>
      <x:c r="G169" s="38" t="str">
        <x:v>是</x:v>
      </x:c>
      <x:c r="H169" s="49" t="n">
        <x:v>7.5</x:v>
      </x:c>
      <x:c r="I169" s="49" t="n">
        <x:v>0.3</x:v>
      </x:c>
      <x:c r="J169" s="49" t="str">
        <x:v>无（缘石高差，路侧停车待核）</x:v>
      </x:c>
      <x:c r="K169" s="49" t="n">
        <x:v>3.33</x:v>
      </x:c>
      <x:c r="L169" s="58" t="n">
        <x:f>IF(OR(E169="",K169="",K169=0),"n.a.",E169/K169)</x:f>
        <x:v>17.957957957957955</x:v>
      </x:c>
      <x:c r="M169" s="38" t="str">
        <x:v>00:00—24:00</x:v>
      </x:c>
      <x:c r="N169" s="59" t="n">
        <x:v>0.3</x:v>
      </x:c>
      <x:c r="O169" s="38" t="str">
        <x:v>OSM</x:v>
      </x:c>
      <x:c r="P169" s="38" t="str">
        <x:v>原始社区数据表</x:v>
      </x:c>
      <x:c r="Q169" s="2"/>
      <x:c r="R169" s="2"/>
      <x:c r="S169" s="2"/>
      <x:c r="T169" s="2"/>
      <x:c r="U169" s="2"/>
      <x:c r="V169" s="2"/>
    </x:row>
    <x:row r="170" ht="34" customHeight="1">
      <x:c r="A170" s="38" t="str">
        <x:v>C03-E028</x:v>
      </x:c>
      <x:c r="B170" s="38" t="str">
        <x:v>C03</x:v>
      </x:c>
      <x:c r="C170" s="38" t="str">
        <x:v>C03-R031</x:v>
      </x:c>
      <x:c r="D170" s="38" t="str">
        <x:v>C03-R032</x:v>
      </x:c>
      <x:c r="E170" s="55" t="n">
        <x:v>8</x:v>
      </x:c>
      <x:c r="F170" s="38" t="str">
        <x:v>否</x:v>
      </x:c>
      <x:c r="G170" s="38" t="str">
        <x:v>是</x:v>
      </x:c>
      <x:c r="H170" s="49" t="n">
        <x:v>7.5</x:v>
      </x:c>
      <x:c r="I170" s="49" t="n">
        <x:v>0.3</x:v>
      </x:c>
      <x:c r="J170" s="49" t="str">
        <x:v>无（缘石高差，路侧停车待核）</x:v>
      </x:c>
      <x:c r="K170" s="49" t="n">
        <x:v>3.33</x:v>
      </x:c>
      <x:c r="L170" s="58" t="n">
        <x:f>IF(OR(E170="",K170="",K170=0),"n.a.",E170/K170)</x:f>
        <x:v>2.4024024024024024</x:v>
      </x:c>
      <x:c r="M170" s="38" t="str">
        <x:v>00:00—24:00</x:v>
      </x:c>
      <x:c r="N170" s="59" t="n">
        <x:v>0.3</x:v>
      </x:c>
      <x:c r="O170" s="38" t="str">
        <x:v>OSM</x:v>
      </x:c>
      <x:c r="P170" s="38" t="str">
        <x:v>原始社区数据表</x:v>
      </x:c>
      <x:c r="Q170" s="2"/>
      <x:c r="R170" s="2"/>
      <x:c r="S170" s="2"/>
      <x:c r="T170" s="2"/>
      <x:c r="U170" s="2"/>
      <x:c r="V170" s="2"/>
    </x:row>
    <x:row r="171" ht="34" customHeight="1">
      <x:c r="A171" s="38" t="str">
        <x:v>C03-E029</x:v>
      </x:c>
      <x:c r="B171" s="38" t="str">
        <x:v>C03</x:v>
      </x:c>
      <x:c r="C171" s="38" t="str">
        <x:v>C03-R019</x:v>
      </x:c>
      <x:c r="D171" s="38" t="str">
        <x:v>C03-R033</x:v>
      </x:c>
      <x:c r="E171" s="55" t="n">
        <x:v>22.9</x:v>
      </x:c>
      <x:c r="F171" s="38" t="str">
        <x:v>否</x:v>
      </x:c>
      <x:c r="G171" s="38" t="str">
        <x:v>是</x:v>
      </x:c>
      <x:c r="H171" s="49" t="n">
        <x:v>7.5</x:v>
      </x:c>
      <x:c r="I171" s="49" t="n">
        <x:v>0.3</x:v>
      </x:c>
      <x:c r="J171" s="49" t="str">
        <x:v>无（缘石高差，路侧停车待核）</x:v>
      </x:c>
      <x:c r="K171" s="49" t="n">
        <x:v>3.33</x:v>
      </x:c>
      <x:c r="L171" s="58" t="n">
        <x:f>IF(OR(E171="",K171="",K171=0),"n.a.",E171/K171)</x:f>
        <x:v>6.876876876876876</x:v>
      </x:c>
      <x:c r="M171" s="38" t="str">
        <x:v>00:00—24:00</x:v>
      </x:c>
      <x:c r="N171" s="59" t="n">
        <x:v>0.3</x:v>
      </x:c>
      <x:c r="O171" s="38" t="str">
        <x:v>OSM</x:v>
      </x:c>
      <x:c r="P171" s="38" t="str">
        <x:v>原始社区数据表</x:v>
      </x:c>
      <x:c r="Q171" s="2"/>
      <x:c r="R171" s="2"/>
      <x:c r="S171" s="2"/>
      <x:c r="T171" s="2"/>
      <x:c r="U171" s="2"/>
      <x:c r="V171" s="2"/>
    </x:row>
    <x:row r="172" ht="34" customHeight="1">
      <x:c r="A172" s="38" t="str">
        <x:v>C03-E030</x:v>
      </x:c>
      <x:c r="B172" s="38" t="str">
        <x:v>C03</x:v>
      </x:c>
      <x:c r="C172" s="38" t="str">
        <x:v>C03-R033</x:v>
      </x:c>
      <x:c r="D172" s="38" t="str">
        <x:v>C03-R034</x:v>
      </x:c>
      <x:c r="E172" s="55" t="n">
        <x:v>67.9</x:v>
      </x:c>
      <x:c r="F172" s="38" t="str">
        <x:v>否</x:v>
      </x:c>
      <x:c r="G172" s="38" t="str">
        <x:v>是</x:v>
      </x:c>
      <x:c r="H172" s="49" t="n">
        <x:v>7.5</x:v>
      </x:c>
      <x:c r="I172" s="49" t="n">
        <x:v>0.3</x:v>
      </x:c>
      <x:c r="J172" s="49" t="str">
        <x:v>无（缘石高差，路侧停车待核）</x:v>
      </x:c>
      <x:c r="K172" s="49" t="n">
        <x:v>3.33</x:v>
      </x:c>
      <x:c r="L172" s="58" t="n">
        <x:f>IF(OR(E172="",K172="",K172=0),"n.a.",E172/K172)</x:f>
        <x:v>20.39039039039039</x:v>
      </x:c>
      <x:c r="M172" s="38" t="str">
        <x:v>00:00—24:00</x:v>
      </x:c>
      <x:c r="N172" s="59" t="n">
        <x:v>0.3</x:v>
      </x:c>
      <x:c r="O172" s="38" t="str">
        <x:v>OSM</x:v>
      </x:c>
      <x:c r="P172" s="38" t="str">
        <x:v>原始社区数据表</x:v>
      </x:c>
      <x:c r="Q172" s="2"/>
      <x:c r="R172" s="2"/>
      <x:c r="S172" s="2"/>
      <x:c r="T172" s="2"/>
      <x:c r="U172" s="2"/>
      <x:c r="V172" s="2"/>
    </x:row>
    <x:row r="173" ht="34" customHeight="1">
      <x:c r="A173" s="38" t="str">
        <x:v>C03-E031</x:v>
      </x:c>
      <x:c r="B173" s="38" t="str">
        <x:v>C03</x:v>
      </x:c>
      <x:c r="C173" s="38" t="str">
        <x:v>C03-R008</x:v>
      </x:c>
      <x:c r="D173" s="38" t="str">
        <x:v>C03-R035</x:v>
      </x:c>
      <x:c r="E173" s="55" t="n">
        <x:v>14.9</x:v>
      </x:c>
      <x:c r="F173" s="38" t="str">
        <x:v>否</x:v>
      </x:c>
      <x:c r="G173" s="38" t="str">
        <x:v>是</x:v>
      </x:c>
      <x:c r="H173" s="49" t="n">
        <x:v>7.5</x:v>
      </x:c>
      <x:c r="I173" s="49" t="n">
        <x:v>0.3</x:v>
      </x:c>
      <x:c r="J173" s="49" t="str">
        <x:v>无（缘石高差，路侧停车待核）</x:v>
      </x:c>
      <x:c r="K173" s="49" t="n">
        <x:v>3.33</x:v>
      </x:c>
      <x:c r="L173" s="58" t="n">
        <x:f>IF(OR(E173="",K173="",K173=0),"n.a.",E173/K173)</x:f>
        <x:v>4.474474474474475</x:v>
      </x:c>
      <x:c r="M173" s="38" t="str">
        <x:v>00:00—24:00</x:v>
      </x:c>
      <x:c r="N173" s="59" t="n">
        <x:v>0.3</x:v>
      </x:c>
      <x:c r="O173" s="38" t="str">
        <x:v>OSM</x:v>
      </x:c>
      <x:c r="P173" s="38" t="str">
        <x:v>原始社区数据表</x:v>
      </x:c>
      <x:c r="Q173" s="2"/>
      <x:c r="R173" s="2"/>
      <x:c r="S173" s="2"/>
      <x:c r="T173" s="2"/>
      <x:c r="U173" s="2"/>
      <x:c r="V173" s="2"/>
    </x:row>
    <x:row r="174" ht="34" customHeight="1">
      <x:c r="A174" s="38" t="str">
        <x:v>C03-E032</x:v>
      </x:c>
      <x:c r="B174" s="38" t="str">
        <x:v>C03</x:v>
      </x:c>
      <x:c r="C174" s="38" t="str">
        <x:v>C03-R036</x:v>
      </x:c>
      <x:c r="D174" s="38" t="str">
        <x:v>C03-R037</x:v>
      </x:c>
      <x:c r="E174" s="55" t="n">
        <x:v>181.5</x:v>
      </x:c>
      <x:c r="F174" s="38" t="str">
        <x:v>否</x:v>
      </x:c>
      <x:c r="G174" s="38" t="str">
        <x:v>是</x:v>
      </x:c>
      <x:c r="H174" s="49" t="n">
        <x:v>7.5</x:v>
      </x:c>
      <x:c r="I174" s="49" t="n">
        <x:v>0.3</x:v>
      </x:c>
      <x:c r="J174" s="49" t="str">
        <x:v>无（缘石高差，路侧停车待核）</x:v>
      </x:c>
      <x:c r="K174" s="49" t="n">
        <x:v>3.33</x:v>
      </x:c>
      <x:c r="L174" s="58" t="n">
        <x:f>IF(OR(E174="",K174="",K174=0),"n.a.",E174/K174)</x:f>
        <x:v>54.5045045045045</x:v>
      </x:c>
      <x:c r="M174" s="38" t="str">
        <x:v>00:00—24:00</x:v>
      </x:c>
      <x:c r="N174" s="59" t="n">
        <x:v>0.3</x:v>
      </x:c>
      <x:c r="O174" s="38" t="str">
        <x:v>OSM</x:v>
      </x:c>
      <x:c r="P174" s="38" t="str">
        <x:v>原始社区数据表</x:v>
      </x:c>
      <x:c r="Q174" s="2"/>
      <x:c r="R174" s="2"/>
      <x:c r="S174" s="2"/>
      <x:c r="T174" s="2"/>
      <x:c r="U174" s="2"/>
      <x:c r="V174" s="2"/>
    </x:row>
    <x:row r="175" ht="34" customHeight="1">
      <x:c r="A175" s="38" t="str">
        <x:v>C03-E033</x:v>
      </x:c>
      <x:c r="B175" s="38" t="str">
        <x:v>C03</x:v>
      </x:c>
      <x:c r="C175" s="38" t="str">
        <x:v>C03-R037</x:v>
      </x:c>
      <x:c r="D175" s="38" t="str">
        <x:v>C03-R038</x:v>
      </x:c>
      <x:c r="E175" s="55" t="n">
        <x:v>42</x:v>
      </x:c>
      <x:c r="F175" s="38" t="str">
        <x:v>否</x:v>
      </x:c>
      <x:c r="G175" s="38" t="str">
        <x:v>是</x:v>
      </x:c>
      <x:c r="H175" s="49" t="n">
        <x:v>7.5</x:v>
      </x:c>
      <x:c r="I175" s="49" t="n">
        <x:v>0.3</x:v>
      </x:c>
      <x:c r="J175" s="49" t="str">
        <x:v>无（缘石高差，路侧停车待核）</x:v>
      </x:c>
      <x:c r="K175" s="49" t="n">
        <x:v>3.33</x:v>
      </x:c>
      <x:c r="L175" s="58" t="n">
        <x:f>IF(OR(E175="",K175="",K175=0),"n.a.",E175/K175)</x:f>
        <x:v>12.612612612612612</x:v>
      </x:c>
      <x:c r="M175" s="38" t="str">
        <x:v>00:00—24:00</x:v>
      </x:c>
      <x:c r="N175" s="59" t="n">
        <x:v>0.3</x:v>
      </x:c>
      <x:c r="O175" s="38" t="str">
        <x:v>OSM</x:v>
      </x:c>
      <x:c r="P175" s="38" t="str">
        <x:v>原始社区数据表</x:v>
      </x:c>
      <x:c r="Q175" s="2"/>
      <x:c r="R175" s="2"/>
      <x:c r="S175" s="2"/>
      <x:c r="T175" s="2"/>
      <x:c r="U175" s="2"/>
      <x:c r="V175" s="2"/>
    </x:row>
    <x:row r="176" ht="34" customHeight="1">
      <x:c r="A176" s="38" t="str">
        <x:v>C03-E034</x:v>
      </x:c>
      <x:c r="B176" s="38" t="str">
        <x:v>C03</x:v>
      </x:c>
      <x:c r="C176" s="38" t="str">
        <x:v>C03-R038</x:v>
      </x:c>
      <x:c r="D176" s="38" t="str">
        <x:v>C03-R039</x:v>
      </x:c>
      <x:c r="E176" s="55" t="n">
        <x:v>4.6</x:v>
      </x:c>
      <x:c r="F176" s="38" t="str">
        <x:v>否</x:v>
      </x:c>
      <x:c r="G176" s="38" t="str">
        <x:v>是</x:v>
      </x:c>
      <x:c r="H176" s="49" t="n">
        <x:v>7.5</x:v>
      </x:c>
      <x:c r="I176" s="49" t="n">
        <x:v>0.3</x:v>
      </x:c>
      <x:c r="J176" s="49" t="str">
        <x:v>无（缘石高差，路侧停车待核）</x:v>
      </x:c>
      <x:c r="K176" s="49" t="n">
        <x:v>3.33</x:v>
      </x:c>
      <x:c r="L176" s="58" t="n">
        <x:f>IF(OR(E176="",K176="",K176=0),"n.a.",E176/K176)</x:f>
        <x:v>1.3813813813813813</x:v>
      </x:c>
      <x:c r="M176" s="38" t="str">
        <x:v>00:00—24:00</x:v>
      </x:c>
      <x:c r="N176" s="59" t="n">
        <x:v>0.3</x:v>
      </x:c>
      <x:c r="O176" s="38" t="str">
        <x:v>OSM</x:v>
      </x:c>
      <x:c r="P176" s="38" t="str">
        <x:v>原始社区数据表</x:v>
      </x:c>
      <x:c r="Q176" s="2"/>
      <x:c r="R176" s="2"/>
      <x:c r="S176" s="2"/>
      <x:c r="T176" s="2"/>
      <x:c r="U176" s="2"/>
      <x:c r="V176" s="2"/>
    </x:row>
    <x:row r="177" ht="34" customHeight="1">
      <x:c r="A177" s="38" t="str">
        <x:v>C03-E035</x:v>
      </x:c>
      <x:c r="B177" s="38" t="str">
        <x:v>C03</x:v>
      </x:c>
      <x:c r="C177" s="38" t="str">
        <x:v>C03-R039</x:v>
      </x:c>
      <x:c r="D177" s="38" t="str">
        <x:v>C03-R040</x:v>
      </x:c>
      <x:c r="E177" s="55" t="n">
        <x:v>5.4</x:v>
      </x:c>
      <x:c r="F177" s="38" t="str">
        <x:v>否</x:v>
      </x:c>
      <x:c r="G177" s="38" t="str">
        <x:v>是</x:v>
      </x:c>
      <x:c r="H177" s="49" t="n">
        <x:v>7.5</x:v>
      </x:c>
      <x:c r="I177" s="49" t="n">
        <x:v>0.3</x:v>
      </x:c>
      <x:c r="J177" s="49" t="str">
        <x:v>无（缘石高差，路侧停车待核）</x:v>
      </x:c>
      <x:c r="K177" s="49" t="n">
        <x:v>3.33</x:v>
      </x:c>
      <x:c r="L177" s="58" t="n">
        <x:f>IF(OR(E177="",K177="",K177=0),"n.a.",E177/K177)</x:f>
        <x:v>1.6216216216216217</x:v>
      </x:c>
      <x:c r="M177" s="38" t="str">
        <x:v>00:00—24:00</x:v>
      </x:c>
      <x:c r="N177" s="59" t="n">
        <x:v>0.3</x:v>
      </x:c>
      <x:c r="O177" s="38" t="str">
        <x:v>OSM</x:v>
      </x:c>
      <x:c r="P177" s="38" t="str">
        <x:v>原始社区数据表</x:v>
      </x:c>
      <x:c r="Q177" s="2"/>
      <x:c r="R177" s="2"/>
      <x:c r="S177" s="2"/>
      <x:c r="T177" s="2"/>
      <x:c r="U177" s="2"/>
      <x:c r="V177" s="2"/>
    </x:row>
    <x:row r="178" ht="34" customHeight="1">
      <x:c r="A178" s="38" t="str">
        <x:v>C03-E036</x:v>
      </x:c>
      <x:c r="B178" s="38" t="str">
        <x:v>C03</x:v>
      </x:c>
      <x:c r="C178" s="38" t="str">
        <x:v>C03-R040</x:v>
      </x:c>
      <x:c r="D178" s="38" t="str">
        <x:v>C03-R041</x:v>
      </x:c>
      <x:c r="E178" s="55" t="n">
        <x:v>5.2</x:v>
      </x:c>
      <x:c r="F178" s="38" t="str">
        <x:v>否</x:v>
      </x:c>
      <x:c r="G178" s="38" t="str">
        <x:v>是</x:v>
      </x:c>
      <x:c r="H178" s="49" t="n">
        <x:v>7.5</x:v>
      </x:c>
      <x:c r="I178" s="49" t="n">
        <x:v>0.3</x:v>
      </x:c>
      <x:c r="J178" s="49" t="str">
        <x:v>无（缘石高差，路侧停车待核）</x:v>
      </x:c>
      <x:c r="K178" s="49" t="n">
        <x:v>3.33</x:v>
      </x:c>
      <x:c r="L178" s="58" t="n">
        <x:f>IF(OR(E178="",K178="",K178=0),"n.a.",E178/K178)</x:f>
        <x:v>1.5615615615615617</x:v>
      </x:c>
      <x:c r="M178" s="38" t="str">
        <x:v>00:00—24:00</x:v>
      </x:c>
      <x:c r="N178" s="59" t="n">
        <x:v>0.3</x:v>
      </x:c>
      <x:c r="O178" s="38" t="str">
        <x:v>OSM</x:v>
      </x:c>
      <x:c r="P178" s="38" t="str">
        <x:v>原始社区数据表</x:v>
      </x:c>
      <x:c r="Q178" s="2"/>
      <x:c r="R178" s="2"/>
      <x:c r="S178" s="2"/>
      <x:c r="T178" s="2"/>
      <x:c r="U178" s="2"/>
      <x:c r="V178" s="2"/>
    </x:row>
    <x:row r="179" ht="34" customHeight="1">
      <x:c r="A179" s="38" t="str">
        <x:v>C03-E037</x:v>
      </x:c>
      <x:c r="B179" s="38" t="str">
        <x:v>C03</x:v>
      </x:c>
      <x:c r="C179" s="38" t="str">
        <x:v>C03-R041</x:v>
      </x:c>
      <x:c r="D179" s="38" t="str">
        <x:v>C03-R042</x:v>
      </x:c>
      <x:c r="E179" s="55" t="n">
        <x:v>29.2</x:v>
      </x:c>
      <x:c r="F179" s="38" t="str">
        <x:v>否</x:v>
      </x:c>
      <x:c r="G179" s="38" t="str">
        <x:v>是</x:v>
      </x:c>
      <x:c r="H179" s="49" t="n">
        <x:v>7.5</x:v>
      </x:c>
      <x:c r="I179" s="49" t="n">
        <x:v>0.3</x:v>
      </x:c>
      <x:c r="J179" s="49" t="str">
        <x:v>无（缘石高差，路侧停车待核）</x:v>
      </x:c>
      <x:c r="K179" s="49" t="n">
        <x:v>3.33</x:v>
      </x:c>
      <x:c r="L179" s="58" t="n">
        <x:f>IF(OR(E179="",K179="",K179=0),"n.a.",E179/K179)</x:f>
        <x:v>8.76876876876877</x:v>
      </x:c>
      <x:c r="M179" s="38" t="str">
        <x:v>00:00—24:00</x:v>
      </x:c>
      <x:c r="N179" s="59" t="n">
        <x:v>0.3</x:v>
      </x:c>
      <x:c r="O179" s="38" t="str">
        <x:v>OSM</x:v>
      </x:c>
      <x:c r="P179" s="38" t="str">
        <x:v>原始社区数据表</x:v>
      </x:c>
      <x:c r="Q179" s="2"/>
      <x:c r="R179" s="2"/>
      <x:c r="S179" s="2"/>
      <x:c r="T179" s="2"/>
      <x:c r="U179" s="2"/>
      <x:c r="V179" s="2"/>
    </x:row>
    <x:row r="180" ht="34" customHeight="1">
      <x:c r="A180" s="38" t="str">
        <x:v>C03-E038</x:v>
      </x:c>
      <x:c r="B180" s="38" t="str">
        <x:v>C03</x:v>
      </x:c>
      <x:c r="C180" s="38" t="str">
        <x:v>C03-R042</x:v>
      </x:c>
      <x:c r="D180" s="38" t="str">
        <x:v>C03-R032</x:v>
      </x:c>
      <x:c r="E180" s="55" t="n">
        <x:v>189.1</x:v>
      </x:c>
      <x:c r="F180" s="38" t="str">
        <x:v>否</x:v>
      </x:c>
      <x:c r="G180" s="38" t="str">
        <x:v>是</x:v>
      </x:c>
      <x:c r="H180" s="49" t="n">
        <x:v>7.5</x:v>
      </x:c>
      <x:c r="I180" s="49" t="n">
        <x:v>0.3</x:v>
      </x:c>
      <x:c r="J180" s="49" t="str">
        <x:v>无（缘石高差，路侧停车待核）</x:v>
      </x:c>
      <x:c r="K180" s="49" t="n">
        <x:v>3.33</x:v>
      </x:c>
      <x:c r="L180" s="58" t="n">
        <x:f>IF(OR(E180="",K180="",K180=0),"n.a.",E180/K180)</x:f>
        <x:v>56.786786786786784</x:v>
      </x:c>
      <x:c r="M180" s="38" t="str">
        <x:v>00:00—24:00</x:v>
      </x:c>
      <x:c r="N180" s="59" t="n">
        <x:v>0.3</x:v>
      </x:c>
      <x:c r="O180" s="38" t="str">
        <x:v>OSM</x:v>
      </x:c>
      <x:c r="P180" s="38" t="str">
        <x:v>原始社区数据表</x:v>
      </x:c>
      <x:c r="Q180" s="2"/>
      <x:c r="R180" s="2"/>
      <x:c r="S180" s="2"/>
      <x:c r="T180" s="2"/>
      <x:c r="U180" s="2"/>
      <x:c r="V180" s="2"/>
    </x:row>
    <x:row r="181" ht="34" customHeight="1">
      <x:c r="A181" s="38" t="str">
        <x:v>C03-E039</x:v>
      </x:c>
      <x:c r="B181" s="38" t="str">
        <x:v>C03</x:v>
      </x:c>
      <x:c r="C181" s="38" t="str">
        <x:v>C03-R001</x:v>
      </x:c>
      <x:c r="D181" s="38" t="str">
        <x:v>C03-R047</x:v>
      </x:c>
      <x:c r="E181" s="55" t="n">
        <x:v>15.1</x:v>
      </x:c>
      <x:c r="F181" s="38" t="str">
        <x:v>否</x:v>
      </x:c>
      <x:c r="G181" s="38" t="str">
        <x:v>是</x:v>
      </x:c>
      <x:c r="H181" s="49" t="n">
        <x:v>7.5</x:v>
      </x:c>
      <x:c r="I181" s="49" t="n">
        <x:v>0.3</x:v>
      </x:c>
      <x:c r="J181" s="49" t="str">
        <x:v>无（缘石高差，路侧停车待核）</x:v>
      </x:c>
      <x:c r="K181" s="49" t="n">
        <x:v>3.33</x:v>
      </x:c>
      <x:c r="L181" s="58" t="n">
        <x:f>IF(OR(E181="",K181="",K181=0),"n.a.",E181/K181)</x:f>
        <x:v>4.534534534534535</x:v>
      </x:c>
      <x:c r="M181" s="38" t="str">
        <x:v>00:00—24:00</x:v>
      </x:c>
      <x:c r="N181" s="59" t="n">
        <x:v>0.3</x:v>
      </x:c>
      <x:c r="O181" s="38" t="str">
        <x:v>OSM</x:v>
      </x:c>
      <x:c r="P181" s="38" t="str">
        <x:v>原始社区数据表</x:v>
      </x:c>
      <x:c r="Q181" s="2"/>
      <x:c r="R181" s="2"/>
      <x:c r="S181" s="2"/>
      <x:c r="T181" s="2"/>
      <x:c r="U181" s="2"/>
      <x:c r="V181" s="2"/>
    </x:row>
    <x:row r="182" ht="34" customHeight="1">
      <x:c r="A182" s="38" t="str">
        <x:v>C03-E040</x:v>
      </x:c>
      <x:c r="B182" s="38" t="str">
        <x:v>C03</x:v>
      </x:c>
      <x:c r="C182" s="38" t="str">
        <x:v>C03-R048</x:v>
      </x:c>
      <x:c r="D182" s="38" t="str">
        <x:v>C03-R049</x:v>
      </x:c>
      <x:c r="E182" s="55" t="n">
        <x:v>115.2</x:v>
      </x:c>
      <x:c r="F182" s="38" t="str">
        <x:v>是</x:v>
      </x:c>
      <x:c r="G182" s="38" t="str">
        <x:v>是</x:v>
      </x:c>
      <x:c r="H182" s="49" t="n">
        <x:v>7.5</x:v>
      </x:c>
      <x:c r="I182" s="49" t="n">
        <x:v>0.3</x:v>
      </x:c>
      <x:c r="J182" s="49" t="str">
        <x:v>无（缘石高差，路侧停车待核）</x:v>
      </x:c>
      <x:c r="K182" s="49" t="n">
        <x:v>3.33</x:v>
      </x:c>
      <x:c r="L182" s="58" t="n">
        <x:f>IF(OR(E182="",K182="",K182=0),"n.a.",E182/K182)</x:f>
        <x:v>34.5945945945946</x:v>
      </x:c>
      <x:c r="M182" s="38" t="str">
        <x:v>00:00—24:00</x:v>
      </x:c>
      <x:c r="N182" s="59" t="n">
        <x:v>0.3</x:v>
      </x:c>
      <x:c r="O182" s="38" t="str">
        <x:v>OSM</x:v>
      </x:c>
      <x:c r="P182" s="38" t="str">
        <x:v>原始社区数据表</x:v>
      </x:c>
      <x:c r="Q182" s="2"/>
      <x:c r="R182" s="2"/>
      <x:c r="S182" s="2"/>
      <x:c r="T182" s="2"/>
      <x:c r="U182" s="2"/>
      <x:c r="V182" s="2"/>
    </x:row>
    <x:row r="183" ht="34" customHeight="1">
      <x:c r="A183" s="38" t="str">
        <x:v>C03-E041</x:v>
      </x:c>
      <x:c r="B183" s="38" t="str">
        <x:v>C03</x:v>
      </x:c>
      <x:c r="C183" s="38" t="str">
        <x:v>C03-R049</x:v>
      </x:c>
      <x:c r="D183" s="38" t="str">
        <x:v>C03-R050</x:v>
      </x:c>
      <x:c r="E183" s="55" t="n">
        <x:v>289.9</x:v>
      </x:c>
      <x:c r="F183" s="38" t="str">
        <x:v>是</x:v>
      </x:c>
      <x:c r="G183" s="38" t="str">
        <x:v>是</x:v>
      </x:c>
      <x:c r="H183" s="49" t="n">
        <x:v>7.5</x:v>
      </x:c>
      <x:c r="I183" s="49" t="n">
        <x:v>0.3</x:v>
      </x:c>
      <x:c r="J183" s="49" t="str">
        <x:v>无（缘石高差，路侧停车待核）</x:v>
      </x:c>
      <x:c r="K183" s="49" t="n">
        <x:v>3.33</x:v>
      </x:c>
      <x:c r="L183" s="58" t="n">
        <x:f>IF(OR(E183="",K183="",K183=0),"n.a.",E183/K183)</x:f>
        <x:v>87.05705705705705</x:v>
      </x:c>
      <x:c r="M183" s="38" t="str">
        <x:v>00:00—24:00</x:v>
      </x:c>
      <x:c r="N183" s="59" t="n">
        <x:v>0.3</x:v>
      </x:c>
      <x:c r="O183" s="38" t="str">
        <x:v>OSM</x:v>
      </x:c>
      <x:c r="P183" s="38" t="str">
        <x:v>原始社区数据表</x:v>
      </x:c>
      <x:c r="Q183" s="2"/>
      <x:c r="R183" s="2"/>
      <x:c r="S183" s="2"/>
      <x:c r="T183" s="2"/>
      <x:c r="U183" s="2"/>
      <x:c r="V183" s="2"/>
    </x:row>
    <x:row r="184" ht="34" customHeight="1">
      <x:c r="A184" s="38" t="str">
        <x:v>C03-E042</x:v>
      </x:c>
      <x:c r="B184" s="38" t="str">
        <x:v>C03</x:v>
      </x:c>
      <x:c r="C184" s="38" t="str">
        <x:v>C03-R050</x:v>
      </x:c>
      <x:c r="D184" s="38" t="str">
        <x:v>C03-R051</x:v>
      </x:c>
      <x:c r="E184" s="55" t="n">
        <x:v>8</x:v>
      </x:c>
      <x:c r="F184" s="38" t="str">
        <x:v>是</x:v>
      </x:c>
      <x:c r="G184" s="38" t="str">
        <x:v>是</x:v>
      </x:c>
      <x:c r="H184" s="49" t="n">
        <x:v>7.5</x:v>
      </x:c>
      <x:c r="I184" s="49" t="n">
        <x:v>0.3</x:v>
      </x:c>
      <x:c r="J184" s="49" t="str">
        <x:v>无（缘石高差，路侧停车待核）</x:v>
      </x:c>
      <x:c r="K184" s="49" t="n">
        <x:v>3.33</x:v>
      </x:c>
      <x:c r="L184" s="58" t="n">
        <x:f>IF(OR(E184="",K184="",K184=0),"n.a.",E184/K184)</x:f>
        <x:v>2.4024024024024024</x:v>
      </x:c>
      <x:c r="M184" s="38" t="str">
        <x:v>00:00—24:00</x:v>
      </x:c>
      <x:c r="N184" s="59" t="n">
        <x:v>0.3</x:v>
      </x:c>
      <x:c r="O184" s="38" t="str">
        <x:v>OSM</x:v>
      </x:c>
      <x:c r="P184" s="38" t="str">
        <x:v>原始社区数据表</x:v>
      </x:c>
      <x:c r="Q184" s="2"/>
      <x:c r="R184" s="2"/>
      <x:c r="S184" s="2"/>
      <x:c r="T184" s="2"/>
      <x:c r="U184" s="2"/>
      <x:c r="V184" s="2"/>
    </x:row>
    <x:row r="185" ht="34" customHeight="1">
      <x:c r="A185" s="38" t="str">
        <x:v>C03-E043</x:v>
      </x:c>
      <x:c r="B185" s="38" t="str">
        <x:v>C03</x:v>
      </x:c>
      <x:c r="C185" s="38" t="str">
        <x:v>C03-R049</x:v>
      </x:c>
      <x:c r="D185" s="38" t="str">
        <x:v>C03-R056</x:v>
      </x:c>
      <x:c r="E185" s="55" t="n">
        <x:v>147.4</x:v>
      </x:c>
      <x:c r="F185" s="38" t="str">
        <x:v>是</x:v>
      </x:c>
      <x:c r="G185" s="38" t="str">
        <x:v>是</x:v>
      </x:c>
      <x:c r="H185" s="49" t="n">
        <x:v>6</x:v>
      </x:c>
      <x:c r="I185" s="49" t="n">
        <x:v>0.3</x:v>
      </x:c>
      <x:c r="J185" s="49" t="str">
        <x:v>无（缘石高差，路侧停车待核）</x:v>
      </x:c>
      <x:c r="K185" s="49" t="n">
        <x:v>2.78</x:v>
      </x:c>
      <x:c r="L185" s="58" t="n">
        <x:f>IF(OR(E185="",K185="",K185=0),"n.a.",E185/K185)</x:f>
        <x:v>53.021582733812956</x:v>
      </x:c>
      <x:c r="M185" s="38" t="str">
        <x:v>00:00—24:00</x:v>
      </x:c>
      <x:c r="N185" s="59" t="n">
        <x:v>0.3</x:v>
      </x:c>
      <x:c r="O185" s="38" t="str">
        <x:v>OSM</x:v>
      </x:c>
      <x:c r="P185" s="38" t="str">
        <x:v>原始社区数据表</x:v>
      </x:c>
      <x:c r="Q185" s="2"/>
      <x:c r="R185" s="2"/>
      <x:c r="S185" s="2"/>
      <x:c r="T185" s="2"/>
      <x:c r="U185" s="2"/>
      <x:c r="V185" s="2"/>
    </x:row>
    <x:row r="186" ht="34" customHeight="1">
      <x:c r="A186" s="38" t="str">
        <x:v>C03-E044</x:v>
      </x:c>
      <x:c r="B186" s="38" t="str">
        <x:v>C03</x:v>
      </x:c>
      <x:c r="C186" s="38" t="str">
        <x:v>C03-R056</x:v>
      </x:c>
      <x:c r="D186" s="38" t="str">
        <x:v>C03-R057</x:v>
      </x:c>
      <x:c r="E186" s="55" t="n">
        <x:v>115.4</x:v>
      </x:c>
      <x:c r="F186" s="38" t="str">
        <x:v>是</x:v>
      </x:c>
      <x:c r="G186" s="38" t="str">
        <x:v>是</x:v>
      </x:c>
      <x:c r="H186" s="49" t="n">
        <x:v>6</x:v>
      </x:c>
      <x:c r="I186" s="49" t="n">
        <x:v>0.3</x:v>
      </x:c>
      <x:c r="J186" s="49" t="str">
        <x:v>无（缘石高差，路侧停车待核）</x:v>
      </x:c>
      <x:c r="K186" s="49" t="n">
        <x:v>2.78</x:v>
      </x:c>
      <x:c r="L186" s="58" t="n">
        <x:f>IF(OR(E186="",K186="",K186=0),"n.a.",E186/K186)</x:f>
        <x:v>41.51079136690648</x:v>
      </x:c>
      <x:c r="M186" s="38" t="str">
        <x:v>00:00—24:00</x:v>
      </x:c>
      <x:c r="N186" s="59" t="n">
        <x:v>0.3</x:v>
      </x:c>
      <x:c r="O186" s="38" t="str">
        <x:v>OSM</x:v>
      </x:c>
      <x:c r="P186" s="38" t="str">
        <x:v>原始社区数据表</x:v>
      </x:c>
      <x:c r="Q186" s="2"/>
      <x:c r="R186" s="2"/>
      <x:c r="S186" s="2"/>
      <x:c r="T186" s="2"/>
      <x:c r="U186" s="2"/>
      <x:c r="V186" s="2"/>
    </x:row>
    <x:row r="187" ht="34" customHeight="1">
      <x:c r="A187" s="38" t="str">
        <x:v>C03-E045</x:v>
      </x:c>
      <x:c r="B187" s="38" t="str">
        <x:v>C03</x:v>
      </x:c>
      <x:c r="C187" s="38" t="str">
        <x:v>C03-R057</x:v>
      </x:c>
      <x:c r="D187" s="38" t="str">
        <x:v>C03-R013</x:v>
      </x:c>
      <x:c r="E187" s="55" t="n">
        <x:v>8.3</x:v>
      </x:c>
      <x:c r="F187" s="38" t="str">
        <x:v>是</x:v>
      </x:c>
      <x:c r="G187" s="38" t="str">
        <x:v>是</x:v>
      </x:c>
      <x:c r="H187" s="49" t="n">
        <x:v>6</x:v>
      </x:c>
      <x:c r="I187" s="49" t="n">
        <x:v>0.3</x:v>
      </x:c>
      <x:c r="J187" s="49" t="str">
        <x:v>无（缘石高差，路侧停车待核）</x:v>
      </x:c>
      <x:c r="K187" s="49" t="n">
        <x:v>2.78</x:v>
      </x:c>
      <x:c r="L187" s="58" t="n">
        <x:f>IF(OR(E187="",K187="",K187=0),"n.a.",E187/K187)</x:f>
        <x:v>2.9856115107913674</x:v>
      </x:c>
      <x:c r="M187" s="38" t="str">
        <x:v>00:00—24:00</x:v>
      </x:c>
      <x:c r="N187" s="59" t="n">
        <x:v>0.3</x:v>
      </x:c>
      <x:c r="O187" s="38" t="str">
        <x:v>OSM</x:v>
      </x:c>
      <x:c r="P187" s="38" t="str">
        <x:v>原始社区数据表</x:v>
      </x:c>
      <x:c r="Q187" s="2"/>
      <x:c r="R187" s="2"/>
      <x:c r="S187" s="2"/>
      <x:c r="T187" s="2"/>
      <x:c r="U187" s="2"/>
      <x:c r="V187" s="2"/>
    </x:row>
    <x:row r="188" ht="34" customHeight="1">
      <x:c r="A188" s="38" t="str">
        <x:v>C03-E046</x:v>
      </x:c>
      <x:c r="B188" s="38" t="str">
        <x:v>C03</x:v>
      </x:c>
      <x:c r="C188" s="38" t="str">
        <x:v>C03-R067</x:v>
      </x:c>
      <x:c r="D188" s="38" t="str">
        <x:v>C03-R068</x:v>
      </x:c>
      <x:c r="E188" s="55" t="n">
        <x:v>419.3</x:v>
      </x:c>
      <x:c r="F188" s="38" t="str">
        <x:v>是</x:v>
      </x:c>
      <x:c r="G188" s="38" t="str">
        <x:v>是</x:v>
      </x:c>
      <x:c r="H188" s="49" t="n">
        <x:v>6</x:v>
      </x:c>
      <x:c r="I188" s="49" t="n">
        <x:v>0.3</x:v>
      </x:c>
      <x:c r="J188" s="49" t="str">
        <x:v>无（缘石高差，路侧停车待核）</x:v>
      </x:c>
      <x:c r="K188" s="49" t="n">
        <x:v>2.78</x:v>
      </x:c>
      <x:c r="L188" s="58" t="n">
        <x:f>IF(OR(E188="",K188="",K188=0),"n.a.",E188/K188)</x:f>
        <x:v>150.8273381294964</x:v>
      </x:c>
      <x:c r="M188" s="38" t="str">
        <x:v>00:00—24:00</x:v>
      </x:c>
      <x:c r="N188" s="59" t="n">
        <x:v>0.3</x:v>
      </x:c>
      <x:c r="O188" s="38" t="str">
        <x:v>OSM</x:v>
      </x:c>
      <x:c r="P188" s="38" t="str">
        <x:v>原始社区数据表</x:v>
      </x:c>
      <x:c r="Q188" s="2"/>
      <x:c r="R188" s="2"/>
      <x:c r="S188" s="2"/>
      <x:c r="T188" s="2"/>
      <x:c r="U188" s="2"/>
      <x:c r="V188" s="2"/>
    </x:row>
    <x:row r="189" ht="34" customHeight="1">
      <x:c r="A189" s="38" t="str">
        <x:v>C03-E047</x:v>
      </x:c>
      <x:c r="B189" s="38" t="str">
        <x:v>C03</x:v>
      </x:c>
      <x:c r="C189" s="38" t="str">
        <x:v>C03-R069</x:v>
      </x:c>
      <x:c r="D189" s="38" t="str">
        <x:v>C03-R070</x:v>
      </x:c>
      <x:c r="E189" s="55" t="n">
        <x:v>15.3</x:v>
      </x:c>
      <x:c r="F189" s="38" t="str">
        <x:v>是</x:v>
      </x:c>
      <x:c r="G189" s="38" t="str">
        <x:v>是</x:v>
      </x:c>
      <x:c r="H189" s="49" t="n">
        <x:v>4</x:v>
      </x:c>
      <x:c r="I189" s="49" t="n">
        <x:v>0.3</x:v>
      </x:c>
      <x:c r="J189" s="49" t="str">
        <x:v>无（缘石高差，路侧停车待核）</x:v>
      </x:c>
      <x:c r="K189" s="49" t="n">
        <x:v>2.78</x:v>
      </x:c>
      <x:c r="L189" s="58" t="n">
        <x:f>IF(OR(E189="",K189="",K189=0),"n.a.",E189/K189)</x:f>
        <x:v>5.503597122302159</x:v>
      </x:c>
      <x:c r="M189" s="38" t="str">
        <x:v>00:00—24:00</x:v>
      </x:c>
      <x:c r="N189" s="59" t="n">
        <x:v>0.3</x:v>
      </x:c>
      <x:c r="O189" s="38" t="str">
        <x:v>OSM</x:v>
      </x:c>
      <x:c r="P189" s="38" t="str">
        <x:v>原始社区数据表</x:v>
      </x:c>
      <x:c r="Q189" s="2"/>
      <x:c r="R189" s="2"/>
      <x:c r="S189" s="2"/>
      <x:c r="T189" s="2"/>
      <x:c r="U189" s="2"/>
      <x:c r="V189" s="2"/>
    </x:row>
    <x:row r="190" ht="34" customHeight="1">
      <x:c r="A190" s="38" t="str">
        <x:v>C03-E048</x:v>
      </x:c>
      <x:c r="B190" s="38" t="str">
        <x:v>C03</x:v>
      </x:c>
      <x:c r="C190" s="38" t="str">
        <x:v>C03-R070</x:v>
      </x:c>
      <x:c r="D190" s="38" t="str">
        <x:v>C03-R071</x:v>
      </x:c>
      <x:c r="E190" s="55" t="n">
        <x:v>41.5</x:v>
      </x:c>
      <x:c r="F190" s="38" t="str">
        <x:v>是</x:v>
      </x:c>
      <x:c r="G190" s="38" t="str">
        <x:v>是</x:v>
      </x:c>
      <x:c r="H190" s="49" t="n">
        <x:v>4</x:v>
      </x:c>
      <x:c r="I190" s="49" t="n">
        <x:v>0.3</x:v>
      </x:c>
      <x:c r="J190" s="49" t="str">
        <x:v>无（缘石高差，路侧停车待核）</x:v>
      </x:c>
      <x:c r="K190" s="49" t="n">
        <x:v>2.78</x:v>
      </x:c>
      <x:c r="L190" s="58" t="n">
        <x:f>IF(OR(E190="",K190="",K190=0),"n.a.",E190/K190)</x:f>
        <x:v>14.928057553956835</x:v>
      </x:c>
      <x:c r="M190" s="38" t="str">
        <x:v>00:00—24:00</x:v>
      </x:c>
      <x:c r="N190" s="59" t="n">
        <x:v>0.3</x:v>
      </x:c>
      <x:c r="O190" s="38" t="str">
        <x:v>OSM</x:v>
      </x:c>
      <x:c r="P190" s="38" t="str">
        <x:v>原始社区数据表</x:v>
      </x:c>
      <x:c r="Q190" s="2"/>
      <x:c r="R190" s="2"/>
      <x:c r="S190" s="2"/>
      <x:c r="T190" s="2"/>
      <x:c r="U190" s="2"/>
      <x:c r="V190" s="2"/>
    </x:row>
    <x:row r="191" ht="34" customHeight="1">
      <x:c r="A191" s="38" t="str">
        <x:v>C03-E049</x:v>
      </x:c>
      <x:c r="B191" s="38" t="str">
        <x:v>C03</x:v>
      </x:c>
      <x:c r="C191" s="38" t="str">
        <x:v>C03-R071</x:v>
      </x:c>
      <x:c r="D191" s="38" t="str">
        <x:v>C03-R072</x:v>
      </x:c>
      <x:c r="E191" s="55" t="n">
        <x:v>62.6</x:v>
      </x:c>
      <x:c r="F191" s="38" t="str">
        <x:v>是</x:v>
      </x:c>
      <x:c r="G191" s="38" t="str">
        <x:v>是</x:v>
      </x:c>
      <x:c r="H191" s="49" t="n">
        <x:v>4</x:v>
      </x:c>
      <x:c r="I191" s="49" t="n">
        <x:v>0.3</x:v>
      </x:c>
      <x:c r="J191" s="49" t="str">
        <x:v>无（缘石高差，路侧停车待核）</x:v>
      </x:c>
      <x:c r="K191" s="49" t="n">
        <x:v>2.78</x:v>
      </x:c>
      <x:c r="L191" s="58" t="n">
        <x:f>IF(OR(E191="",K191="",K191=0),"n.a.",E191/K191)</x:f>
        <x:v>22.51798561151079</x:v>
      </x:c>
      <x:c r="M191" s="38" t="str">
        <x:v>00:00—24:00</x:v>
      </x:c>
      <x:c r="N191" s="59" t="n">
        <x:v>0.3</x:v>
      </x:c>
      <x:c r="O191" s="38" t="str">
        <x:v>OSM</x:v>
      </x:c>
      <x:c r="P191" s="38" t="str">
        <x:v>原始社区数据表</x:v>
      </x:c>
      <x:c r="Q191" s="2"/>
      <x:c r="R191" s="2"/>
      <x:c r="S191" s="2"/>
      <x:c r="T191" s="2"/>
      <x:c r="U191" s="2"/>
      <x:c r="V191" s="2"/>
    </x:row>
    <x:row r="192" ht="34" customHeight="1">
      <x:c r="A192" s="38" t="str">
        <x:v>C03-E050</x:v>
      </x:c>
      <x:c r="B192" s="38" t="str">
        <x:v>C03</x:v>
      </x:c>
      <x:c r="C192" s="38" t="str">
        <x:v>C03-R072</x:v>
      </x:c>
      <x:c r="D192" s="38" t="str">
        <x:v>C03-R073</x:v>
      </x:c>
      <x:c r="E192" s="55" t="n">
        <x:v>29.6</x:v>
      </x:c>
      <x:c r="F192" s="38" t="str">
        <x:v>是</x:v>
      </x:c>
      <x:c r="G192" s="38" t="str">
        <x:v>是</x:v>
      </x:c>
      <x:c r="H192" s="49" t="n">
        <x:v>4</x:v>
      </x:c>
      <x:c r="I192" s="49" t="n">
        <x:v>0.3</x:v>
      </x:c>
      <x:c r="J192" s="49" t="str">
        <x:v>无（缘石高差，路侧停车待核）</x:v>
      </x:c>
      <x:c r="K192" s="49" t="n">
        <x:v>2.78</x:v>
      </x:c>
      <x:c r="L192" s="58" t="n">
        <x:f>IF(OR(E192="",K192="",K192=0),"n.a.",E192/K192)</x:f>
        <x:v>10.64748201438849</x:v>
      </x:c>
      <x:c r="M192" s="38" t="str">
        <x:v>00:00—24:00</x:v>
      </x:c>
      <x:c r="N192" s="59" t="n">
        <x:v>0.3</x:v>
      </x:c>
      <x:c r="O192" s="38" t="str">
        <x:v>OSM</x:v>
      </x:c>
      <x:c r="P192" s="38" t="str">
        <x:v>原始社区数据表</x:v>
      </x:c>
      <x:c r="Q192" s="2"/>
      <x:c r="R192" s="2"/>
      <x:c r="S192" s="2"/>
      <x:c r="T192" s="2"/>
      <x:c r="U192" s="2"/>
      <x:c r="V192" s="2"/>
    </x:row>
    <x:row r="193" ht="34" customHeight="1">
      <x:c r="A193" s="38" t="str">
        <x:v>C03-E051</x:v>
      </x:c>
      <x:c r="B193" s="38" t="str">
        <x:v>C03</x:v>
      </x:c>
      <x:c r="C193" s="38" t="str">
        <x:v>C03-R073</x:v>
      </x:c>
      <x:c r="D193" s="38" t="str">
        <x:v>C03-R074</x:v>
      </x:c>
      <x:c r="E193" s="55" t="n">
        <x:v>6.1</x:v>
      </x:c>
      <x:c r="F193" s="38" t="str">
        <x:v>是</x:v>
      </x:c>
      <x:c r="G193" s="38" t="str">
        <x:v>是</x:v>
      </x:c>
      <x:c r="H193" s="49" t="n">
        <x:v>4</x:v>
      </x:c>
      <x:c r="I193" s="49" t="n">
        <x:v>0.3</x:v>
      </x:c>
      <x:c r="J193" s="49" t="str">
        <x:v>无（缘石高差，路侧停车待核）</x:v>
      </x:c>
      <x:c r="K193" s="49" t="n">
        <x:v>2.78</x:v>
      </x:c>
      <x:c r="L193" s="58" t="n">
        <x:f>IF(OR(E193="",K193="",K193=0),"n.a.",E193/K193)</x:f>
        <x:v>2.194244604316547</x:v>
      </x:c>
      <x:c r="M193" s="38" t="str">
        <x:v>00:00—24:00</x:v>
      </x:c>
      <x:c r="N193" s="59" t="n">
        <x:v>0.3</x:v>
      </x:c>
      <x:c r="O193" s="38" t="str">
        <x:v>OSM</x:v>
      </x:c>
      <x:c r="P193" s="38" t="str">
        <x:v>原始社区数据表</x:v>
      </x:c>
      <x:c r="Q193" s="2"/>
      <x:c r="R193" s="2"/>
      <x:c r="S193" s="2"/>
      <x:c r="T193" s="2"/>
      <x:c r="U193" s="2"/>
      <x:c r="V193" s="2"/>
    </x:row>
    <x:row r="194" ht="34" customHeight="1">
      <x:c r="A194" s="38" t="str">
        <x:v>C03-E052</x:v>
      </x:c>
      <x:c r="B194" s="38" t="str">
        <x:v>C03</x:v>
      </x:c>
      <x:c r="C194" s="38" t="str">
        <x:v>C03-R074</x:v>
      </x:c>
      <x:c r="D194" s="38" t="str">
        <x:v>C03-R075</x:v>
      </x:c>
      <x:c r="E194" s="55" t="n">
        <x:v>25.8</x:v>
      </x:c>
      <x:c r="F194" s="38" t="str">
        <x:v>是</x:v>
      </x:c>
      <x:c r="G194" s="38" t="str">
        <x:v>是</x:v>
      </x:c>
      <x:c r="H194" s="49" t="n">
        <x:v>4</x:v>
      </x:c>
      <x:c r="I194" s="49" t="n">
        <x:v>0.3</x:v>
      </x:c>
      <x:c r="J194" s="49" t="str">
        <x:v>无（缘石高差，路侧停车待核）</x:v>
      </x:c>
      <x:c r="K194" s="49" t="n">
        <x:v>2.78</x:v>
      </x:c>
      <x:c r="L194" s="58" t="n">
        <x:f>IF(OR(E194="",K194="",K194=0),"n.a.",E194/K194)</x:f>
        <x:v>9.280575539568346</x:v>
      </x:c>
      <x:c r="M194" s="38" t="str">
        <x:v>00:00—24:00</x:v>
      </x:c>
      <x:c r="N194" s="59" t="n">
        <x:v>0.3</x:v>
      </x:c>
      <x:c r="O194" s="38" t="str">
        <x:v>OSM</x:v>
      </x:c>
      <x:c r="P194" s="38" t="str">
        <x:v>原始社区数据表</x:v>
      </x:c>
      <x:c r="Q194" s="2"/>
      <x:c r="R194" s="2"/>
      <x:c r="S194" s="2"/>
      <x:c r="T194" s="2"/>
      <x:c r="U194" s="2"/>
      <x:c r="V194" s="2"/>
    </x:row>
    <x:row r="195" ht="34" customHeight="1">
      <x:c r="A195" s="38" t="str">
        <x:v>C03-E053</x:v>
      </x:c>
      <x:c r="B195" s="38" t="str">
        <x:v>C03</x:v>
      </x:c>
      <x:c r="C195" s="38" t="str">
        <x:v>C03-R071</x:v>
      </x:c>
      <x:c r="D195" s="38" t="str">
        <x:v>C03-R076</x:v>
      </x:c>
      <x:c r="E195" s="55" t="n">
        <x:v>89.8</x:v>
      </x:c>
      <x:c r="F195" s="38" t="str">
        <x:v>是</x:v>
      </x:c>
      <x:c r="G195" s="38" t="str">
        <x:v>是</x:v>
      </x:c>
      <x:c r="H195" s="49" t="n">
        <x:v>4</x:v>
      </x:c>
      <x:c r="I195" s="49" t="n">
        <x:v>0.3</x:v>
      </x:c>
      <x:c r="J195" s="49" t="str">
        <x:v>无（缘石高差，路侧停车待核）</x:v>
      </x:c>
      <x:c r="K195" s="49" t="n">
        <x:v>2.78</x:v>
      </x:c>
      <x:c r="L195" s="58" t="n">
        <x:f>IF(OR(E195="",K195="",K195=0),"n.a.",E195/K195)</x:f>
        <x:v>32.302158273381295</x:v>
      </x:c>
      <x:c r="M195" s="38" t="str">
        <x:v>00:00—24:00</x:v>
      </x:c>
      <x:c r="N195" s="59" t="n">
        <x:v>0.3</x:v>
      </x:c>
      <x:c r="O195" s="38" t="str">
        <x:v>OSM</x:v>
      </x:c>
      <x:c r="P195" s="38" t="str">
        <x:v>原始社区数据表</x:v>
      </x:c>
      <x:c r="Q195" s="2"/>
      <x:c r="R195" s="2"/>
      <x:c r="S195" s="2"/>
      <x:c r="T195" s="2"/>
      <x:c r="U195" s="2"/>
      <x:c r="V195" s="2"/>
    </x:row>
    <x:row r="196" ht="34" customHeight="1">
      <x:c r="A196" s="38" t="str">
        <x:v>C03-E054</x:v>
      </x:c>
      <x:c r="B196" s="38" t="str">
        <x:v>C03</x:v>
      </x:c>
      <x:c r="C196" s="38" t="str">
        <x:v>C03-R076</x:v>
      </x:c>
      <x:c r="D196" s="38" t="str">
        <x:v>C03-R077</x:v>
      </x:c>
      <x:c r="E196" s="55" t="n">
        <x:v>17.4</x:v>
      </x:c>
      <x:c r="F196" s="38" t="str">
        <x:v>是</x:v>
      </x:c>
      <x:c r="G196" s="38" t="str">
        <x:v>是</x:v>
      </x:c>
      <x:c r="H196" s="49" t="n">
        <x:v>4</x:v>
      </x:c>
      <x:c r="I196" s="49" t="n">
        <x:v>0.3</x:v>
      </x:c>
      <x:c r="J196" s="49" t="str">
        <x:v>无（缘石高差，路侧停车待核）</x:v>
      </x:c>
      <x:c r="K196" s="49" t="n">
        <x:v>2.78</x:v>
      </x:c>
      <x:c r="L196" s="58" t="n">
        <x:f>IF(OR(E196="",K196="",K196=0),"n.a.",E196/K196)</x:f>
        <x:v>6.258992805755396</x:v>
      </x:c>
      <x:c r="M196" s="38" t="str">
        <x:v>00:00—24:00</x:v>
      </x:c>
      <x:c r="N196" s="59" t="n">
        <x:v>0.3</x:v>
      </x:c>
      <x:c r="O196" s="38" t="str">
        <x:v>OSM</x:v>
      </x:c>
      <x:c r="P196" s="38" t="str">
        <x:v>原始社区数据表</x:v>
      </x:c>
      <x:c r="Q196" s="2"/>
      <x:c r="R196" s="2"/>
      <x:c r="S196" s="2"/>
      <x:c r="T196" s="2"/>
      <x:c r="U196" s="2"/>
      <x:c r="V196" s="2"/>
    </x:row>
    <x:row r="197" ht="34" customHeight="1">
      <x:c r="A197" s="38" t="str">
        <x:v>C03-E055</x:v>
      </x:c>
      <x:c r="B197" s="38" t="str">
        <x:v>C03</x:v>
      </x:c>
      <x:c r="C197" s="38" t="str">
        <x:v>C03-R077</x:v>
      </x:c>
      <x:c r="D197" s="38" t="str">
        <x:v>C03-R078</x:v>
      </x:c>
      <x:c r="E197" s="55" t="n">
        <x:v>13.2</x:v>
      </x:c>
      <x:c r="F197" s="38" t="str">
        <x:v>是</x:v>
      </x:c>
      <x:c r="G197" s="38" t="str">
        <x:v>是</x:v>
      </x:c>
      <x:c r="H197" s="49" t="n">
        <x:v>4</x:v>
      </x:c>
      <x:c r="I197" s="49" t="n">
        <x:v>0.3</x:v>
      </x:c>
      <x:c r="J197" s="49" t="str">
        <x:v>无（缘石高差，路侧停车待核）</x:v>
      </x:c>
      <x:c r="K197" s="49" t="n">
        <x:v>2.78</x:v>
      </x:c>
      <x:c r="L197" s="58" t="n">
        <x:f>IF(OR(E197="",K197="",K197=0),"n.a.",E197/K197)</x:f>
        <x:v>4.748201438848921</x:v>
      </x:c>
      <x:c r="M197" s="38" t="str">
        <x:v>00:00—24:00</x:v>
      </x:c>
      <x:c r="N197" s="59" t="n">
        <x:v>0.3</x:v>
      </x:c>
      <x:c r="O197" s="38" t="str">
        <x:v>OSM</x:v>
      </x:c>
      <x:c r="P197" s="38" t="str">
        <x:v>原始社区数据表</x:v>
      </x:c>
      <x:c r="Q197" s="2"/>
      <x:c r="R197" s="2"/>
      <x:c r="S197" s="2"/>
      <x:c r="T197" s="2"/>
      <x:c r="U197" s="2"/>
      <x:c r="V197" s="2"/>
    </x:row>
    <x:row r="198" ht="34" customHeight="1">
      <x:c r="A198" s="38" t="str">
        <x:v>C03-E056</x:v>
      </x:c>
      <x:c r="B198" s="38" t="str">
        <x:v>C03</x:v>
      </x:c>
      <x:c r="C198" s="38" t="str">
        <x:v>C03-R078</x:v>
      </x:c>
      <x:c r="D198" s="38" t="str">
        <x:v>C03-R079</x:v>
      </x:c>
      <x:c r="E198" s="55" t="n">
        <x:v>13.7</x:v>
      </x:c>
      <x:c r="F198" s="38" t="str">
        <x:v>是</x:v>
      </x:c>
      <x:c r="G198" s="38" t="str">
        <x:v>是</x:v>
      </x:c>
      <x:c r="H198" s="49" t="n">
        <x:v>4</x:v>
      </x:c>
      <x:c r="I198" s="49" t="n">
        <x:v>0.3</x:v>
      </x:c>
      <x:c r="J198" s="49" t="str">
        <x:v>无（缘石高差，路侧停车待核）</x:v>
      </x:c>
      <x:c r="K198" s="49" t="n">
        <x:v>2.78</x:v>
      </x:c>
      <x:c r="L198" s="58" t="n">
        <x:f>IF(OR(E198="",K198="",K198=0),"n.a.",E198/K198)</x:f>
        <x:v>4.928057553956835</x:v>
      </x:c>
      <x:c r="M198" s="38" t="str">
        <x:v>00:00—24:00</x:v>
      </x:c>
      <x:c r="N198" s="59" t="n">
        <x:v>0.3</x:v>
      </x:c>
      <x:c r="O198" s="38" t="str">
        <x:v>OSM</x:v>
      </x:c>
      <x:c r="P198" s="38" t="str">
        <x:v>原始社区数据表</x:v>
      </x:c>
      <x:c r="Q198" s="2"/>
      <x:c r="R198" s="2"/>
      <x:c r="S198" s="2"/>
      <x:c r="T198" s="2"/>
      <x:c r="U198" s="2"/>
      <x:c r="V198" s="2"/>
    </x:row>
    <x:row r="199" ht="34" customHeight="1">
      <x:c r="A199" s="38" t="str">
        <x:v>C03-E057</x:v>
      </x:c>
      <x:c r="B199" s="38" t="str">
        <x:v>C03</x:v>
      </x:c>
      <x:c r="C199" s="38" t="str">
        <x:v>C03-R079</x:v>
      </x:c>
      <x:c r="D199" s="38" t="str">
        <x:v>C03-R080</x:v>
      </x:c>
      <x:c r="E199" s="55" t="n">
        <x:v>146.2</x:v>
      </x:c>
      <x:c r="F199" s="38" t="str">
        <x:v>是</x:v>
      </x:c>
      <x:c r="G199" s="38" t="str">
        <x:v>是</x:v>
      </x:c>
      <x:c r="H199" s="49" t="n">
        <x:v>4</x:v>
      </x:c>
      <x:c r="I199" s="49" t="n">
        <x:v>0.3</x:v>
      </x:c>
      <x:c r="J199" s="49" t="str">
        <x:v>无（缘石高差，路侧停车待核）</x:v>
      </x:c>
      <x:c r="K199" s="49" t="n">
        <x:v>2.78</x:v>
      </x:c>
      <x:c r="L199" s="58" t="n">
        <x:f>IF(OR(E199="",K199="",K199=0),"n.a.",E199/K199)</x:f>
        <x:v>52.589928057553955</x:v>
      </x:c>
      <x:c r="M199" s="38" t="str">
        <x:v>00:00—24:00</x:v>
      </x:c>
      <x:c r="N199" s="59" t="n">
        <x:v>0.3</x:v>
      </x:c>
      <x:c r="O199" s="38" t="str">
        <x:v>OSM</x:v>
      </x:c>
      <x:c r="P199" s="38" t="str">
        <x:v>原始社区数据表</x:v>
      </x:c>
      <x:c r="Q199" s="2"/>
      <x:c r="R199" s="2"/>
      <x:c r="S199" s="2"/>
      <x:c r="T199" s="2"/>
      <x:c r="U199" s="2"/>
      <x:c r="V199" s="2"/>
    </x:row>
    <x:row r="200" ht="34" customHeight="1">
      <x:c r="A200" s="38" t="str">
        <x:v>C03-E058</x:v>
      </x:c>
      <x:c r="B200" s="38" t="str">
        <x:v>C03</x:v>
      </x:c>
      <x:c r="C200" s="38" t="str">
        <x:v>C03-R083</x:v>
      </x:c>
      <x:c r="D200" s="38" t="str">
        <x:v>C03-R084</x:v>
      </x:c>
      <x:c r="E200" s="55" t="n">
        <x:v>59.9</x:v>
      </x:c>
      <x:c r="F200" s="38" t="str">
        <x:v>否</x:v>
      </x:c>
      <x:c r="G200" s="38" t="str">
        <x:v>是</x:v>
      </x:c>
      <x:c r="H200" s="49" t="n">
        <x:v>7.5</x:v>
      </x:c>
      <x:c r="I200" s="49" t="n">
        <x:v>0.3</x:v>
      </x:c>
      <x:c r="J200" s="49" t="str">
        <x:v>无（缘石高差，路侧停车待核）</x:v>
      </x:c>
      <x:c r="K200" s="49" t="n">
        <x:v>3.33</x:v>
      </x:c>
      <x:c r="L200" s="58" t="n">
        <x:f>IF(OR(E200="",K200="",K200=0),"n.a.",E200/K200)</x:f>
        <x:v>17.98798798798799</x:v>
      </x:c>
      <x:c r="M200" s="38" t="str">
        <x:v>00:00—24:00</x:v>
      </x:c>
      <x:c r="N200" s="59" t="n">
        <x:v>0.3</x:v>
      </x:c>
      <x:c r="O200" s="38" t="str">
        <x:v>OSM</x:v>
      </x:c>
      <x:c r="P200" s="38" t="str">
        <x:v>原始社区数据表</x:v>
      </x:c>
      <x:c r="Q200" s="2"/>
      <x:c r="R200" s="2"/>
      <x:c r="S200" s="2"/>
      <x:c r="T200" s="2"/>
      <x:c r="U200" s="2"/>
      <x:c r="V200" s="2"/>
    </x:row>
    <x:row r="201" ht="34" customHeight="1">
      <x:c r="A201" s="38" t="str">
        <x:v>C03-E059</x:v>
      </x:c>
      <x:c r="B201" s="38" t="str">
        <x:v>C03</x:v>
      </x:c>
      <x:c r="C201" s="38" t="str">
        <x:v>C03-R084</x:v>
      </x:c>
      <x:c r="D201" s="38" t="str">
        <x:v>C03-R085</x:v>
      </x:c>
      <x:c r="E201" s="55" t="n">
        <x:v>124.4</x:v>
      </x:c>
      <x:c r="F201" s="38" t="str">
        <x:v>否</x:v>
      </x:c>
      <x:c r="G201" s="38" t="str">
        <x:v>是</x:v>
      </x:c>
      <x:c r="H201" s="49" t="n">
        <x:v>7.5</x:v>
      </x:c>
      <x:c r="I201" s="49" t="n">
        <x:v>0.3</x:v>
      </x:c>
      <x:c r="J201" s="49" t="str">
        <x:v>无（缘石高差，路侧停车待核）</x:v>
      </x:c>
      <x:c r="K201" s="49" t="n">
        <x:v>3.33</x:v>
      </x:c>
      <x:c r="L201" s="58" t="n">
        <x:f>IF(OR(E201="",K201="",K201=0),"n.a.",E201/K201)</x:f>
        <x:v>37.35735735735736</x:v>
      </x:c>
      <x:c r="M201" s="38" t="str">
        <x:v>00:00—24:00</x:v>
      </x:c>
      <x:c r="N201" s="59" t="n">
        <x:v>0.3</x:v>
      </x:c>
      <x:c r="O201" s="38" t="str">
        <x:v>OSM</x:v>
      </x:c>
      <x:c r="P201" s="38" t="str">
        <x:v>原始社区数据表</x:v>
      </x:c>
      <x:c r="Q201" s="2"/>
      <x:c r="R201" s="2"/>
      <x:c r="S201" s="2"/>
      <x:c r="T201" s="2"/>
      <x:c r="U201" s="2"/>
      <x:c r="V201" s="2"/>
    </x:row>
    <x:row r="202" ht="34" customHeight="1">
      <x:c r="A202" s="38" t="str">
        <x:v>C03-E060</x:v>
      </x:c>
      <x:c r="B202" s="38" t="str">
        <x:v>C03</x:v>
      </x:c>
      <x:c r="C202" s="38" t="str">
        <x:v>C03-R085</x:v>
      </x:c>
      <x:c r="D202" s="38" t="str">
        <x:v>C03-R086</x:v>
      </x:c>
      <x:c r="E202" s="55" t="n">
        <x:v>80.7</x:v>
      </x:c>
      <x:c r="F202" s="38" t="str">
        <x:v>否</x:v>
      </x:c>
      <x:c r="G202" s="38" t="str">
        <x:v>是</x:v>
      </x:c>
      <x:c r="H202" s="49" t="n">
        <x:v>7.5</x:v>
      </x:c>
      <x:c r="I202" s="49" t="n">
        <x:v>0.3</x:v>
      </x:c>
      <x:c r="J202" s="49" t="str">
        <x:v>无（缘石高差，路侧停车待核）</x:v>
      </x:c>
      <x:c r="K202" s="49" t="n">
        <x:v>3.33</x:v>
      </x:c>
      <x:c r="L202" s="58" t="n">
        <x:f>IF(OR(E202="",K202="",K202=0),"n.a.",E202/K202)</x:f>
        <x:v>24.234234234234236</x:v>
      </x:c>
      <x:c r="M202" s="38" t="str">
        <x:v>00:00—24:00</x:v>
      </x:c>
      <x:c r="N202" s="59" t="n">
        <x:v>0.3</x:v>
      </x:c>
      <x:c r="O202" s="38" t="str">
        <x:v>OSM</x:v>
      </x:c>
      <x:c r="P202" s="38" t="str">
        <x:v>原始社区数据表</x:v>
      </x:c>
      <x:c r="Q202" s="2"/>
      <x:c r="R202" s="2"/>
      <x:c r="S202" s="2"/>
      <x:c r="T202" s="2"/>
      <x:c r="U202" s="2"/>
      <x:c r="V202" s="2"/>
    </x:row>
    <x:row r="203" ht="34" customHeight="1">
      <x:c r="A203" s="38" t="str">
        <x:v>C03-E061</x:v>
      </x:c>
      <x:c r="B203" s="38" t="str">
        <x:v>C03</x:v>
      </x:c>
      <x:c r="C203" s="38" t="str">
        <x:v>C03-R086</x:v>
      </x:c>
      <x:c r="D203" s="38" t="str">
        <x:v>C03-R087</x:v>
      </x:c>
      <x:c r="E203" s="55" t="n">
        <x:v>99.9</x:v>
      </x:c>
      <x:c r="F203" s="38" t="str">
        <x:v>否</x:v>
      </x:c>
      <x:c r="G203" s="38" t="str">
        <x:v>是</x:v>
      </x:c>
      <x:c r="H203" s="49" t="n">
        <x:v>7.5</x:v>
      </x:c>
      <x:c r="I203" s="49" t="n">
        <x:v>0.3</x:v>
      </x:c>
      <x:c r="J203" s="49" t="str">
        <x:v>无（缘石高差，路侧停车待核）</x:v>
      </x:c>
      <x:c r="K203" s="49" t="n">
        <x:v>3.33</x:v>
      </x:c>
      <x:c r="L203" s="58" t="n">
        <x:f>IF(OR(E203="",K203="",K203=0),"n.a.",E203/K203)</x:f>
        <x:v>30</x:v>
      </x:c>
      <x:c r="M203" s="38" t="str">
        <x:v>00:00—24:00</x:v>
      </x:c>
      <x:c r="N203" s="59" t="n">
        <x:v>0.3</x:v>
      </x:c>
      <x:c r="O203" s="38" t="str">
        <x:v>OSM</x:v>
      </x:c>
      <x:c r="P203" s="38" t="str">
        <x:v>原始社区数据表</x:v>
      </x:c>
      <x:c r="Q203" s="2"/>
      <x:c r="R203" s="2"/>
      <x:c r="S203" s="2"/>
      <x:c r="T203" s="2"/>
      <x:c r="U203" s="2"/>
      <x:c r="V203" s="2"/>
    </x:row>
    <x:row r="204" ht="34" customHeight="1">
      <x:c r="A204" s="38" t="str">
        <x:v>C03-E062</x:v>
      </x:c>
      <x:c r="B204" s="38" t="str">
        <x:v>C03</x:v>
      </x:c>
      <x:c r="C204" s="38" t="str">
        <x:v>C03-R087</x:v>
      </x:c>
      <x:c r="D204" s="38" t="str">
        <x:v>C03-R088</x:v>
      </x:c>
      <x:c r="E204" s="55" t="n">
        <x:v>17.6</x:v>
      </x:c>
      <x:c r="F204" s="38" t="str">
        <x:v>否</x:v>
      </x:c>
      <x:c r="G204" s="38" t="str">
        <x:v>是</x:v>
      </x:c>
      <x:c r="H204" s="49" t="n">
        <x:v>7.5</x:v>
      </x:c>
      <x:c r="I204" s="49" t="n">
        <x:v>0.3</x:v>
      </x:c>
      <x:c r="J204" s="49" t="str">
        <x:v>无（缘石高差，路侧停车待核）</x:v>
      </x:c>
      <x:c r="K204" s="49" t="n">
        <x:v>3.33</x:v>
      </x:c>
      <x:c r="L204" s="58" t="n">
        <x:f>IF(OR(E204="",K204="",K204=0),"n.a.",E204/K204)</x:f>
        <x:v>5.285285285285285</x:v>
      </x:c>
      <x:c r="M204" s="38" t="str">
        <x:v>00:00—24:00</x:v>
      </x:c>
      <x:c r="N204" s="59" t="n">
        <x:v>0.3</x:v>
      </x:c>
      <x:c r="O204" s="38" t="str">
        <x:v>OSM</x:v>
      </x:c>
      <x:c r="P204" s="38" t="str">
        <x:v>原始社区数据表</x:v>
      </x:c>
      <x:c r="Q204" s="2"/>
      <x:c r="R204" s="2"/>
      <x:c r="S204" s="2"/>
      <x:c r="T204" s="2"/>
      <x:c r="U204" s="2"/>
      <x:c r="V204" s="2"/>
    </x:row>
    <x:row r="205" ht="34" customHeight="1">
      <x:c r="A205" s="38" t="str">
        <x:v>C03-E063</x:v>
      </x:c>
      <x:c r="B205" s="38" t="str">
        <x:v>C03</x:v>
      </x:c>
      <x:c r="C205" s="38" t="str">
        <x:v>C03-R004</x:v>
      </x:c>
      <x:c r="D205" s="38" t="str">
        <x:v>C03-R086</x:v>
      </x:c>
      <x:c r="E205" s="55" t="n">
        <x:v>32.1</x:v>
      </x:c>
      <x:c r="F205" s="38" t="str">
        <x:v>否</x:v>
      </x:c>
      <x:c r="G205" s="38" t="str">
        <x:v>是</x:v>
      </x:c>
      <x:c r="H205" s="49" t="n">
        <x:v>7.5</x:v>
      </x:c>
      <x:c r="I205" s="49" t="n">
        <x:v>0.3</x:v>
      </x:c>
      <x:c r="J205" s="49" t="str">
        <x:v>无（缘石高差，路侧停车待核）</x:v>
      </x:c>
      <x:c r="K205" s="49" t="n">
        <x:v>3.33</x:v>
      </x:c>
      <x:c r="L205" s="58" t="n">
        <x:f>IF(OR(E205="",K205="",K205=0),"n.a.",E205/K205)</x:f>
        <x:v>9.63963963963964</x:v>
      </x:c>
      <x:c r="M205" s="38" t="str">
        <x:v>00:00—24:00</x:v>
      </x:c>
      <x:c r="N205" s="59" t="n">
        <x:v>0.3</x:v>
      </x:c>
      <x:c r="O205" s="38" t="str">
        <x:v>OSM</x:v>
      </x:c>
      <x:c r="P205" s="38" t="str">
        <x:v>原始社区数据表</x:v>
      </x:c>
      <x:c r="Q205" s="2"/>
      <x:c r="R205" s="2"/>
      <x:c r="S205" s="2"/>
      <x:c r="T205" s="2"/>
      <x:c r="U205" s="2"/>
      <x:c r="V205" s="2"/>
    </x:row>
    <x:row r="206" ht="34" customHeight="1">
      <x:c r="A206" s="38" t="str">
        <x:v>C03-E064</x:v>
      </x:c>
      <x:c r="B206" s="38" t="str">
        <x:v>C03</x:v>
      </x:c>
      <x:c r="C206" s="38" t="str">
        <x:v>C03-R084</x:v>
      </x:c>
      <x:c r="D206" s="38" t="str">
        <x:v>C03-R003</x:v>
      </x:c>
      <x:c r="E206" s="55" t="n">
        <x:v>41.4</x:v>
      </x:c>
      <x:c r="F206" s="38" t="str">
        <x:v>否</x:v>
      </x:c>
      <x:c r="G206" s="38" t="str">
        <x:v>是</x:v>
      </x:c>
      <x:c r="H206" s="49" t="n">
        <x:v>7.5</x:v>
      </x:c>
      <x:c r="I206" s="49" t="n">
        <x:v>0.3</x:v>
      </x:c>
      <x:c r="J206" s="49" t="str">
        <x:v>无（缘石高差，路侧停车待核）</x:v>
      </x:c>
      <x:c r="K206" s="49" t="n">
        <x:v>3.33</x:v>
      </x:c>
      <x:c r="L206" s="58" t="n">
        <x:f>IF(OR(E206="",K206="",K206=0),"n.a.",E206/K206)</x:f>
        <x:v>12.432432432432432</x:v>
      </x:c>
      <x:c r="M206" s="38" t="str">
        <x:v>00:00—24:00</x:v>
      </x:c>
      <x:c r="N206" s="59" t="n">
        <x:v>0.3</x:v>
      </x:c>
      <x:c r="O206" s="38" t="str">
        <x:v>OSM</x:v>
      </x:c>
      <x:c r="P206" s="38" t="str">
        <x:v>原始社区数据表</x:v>
      </x:c>
      <x:c r="Q206" s="2"/>
      <x:c r="R206" s="2"/>
      <x:c r="S206" s="2"/>
      <x:c r="T206" s="2"/>
      <x:c r="U206" s="2"/>
      <x:c r="V206" s="2"/>
    </x:row>
    <x:row r="207" ht="34" customHeight="1">
      <x:c r="A207" s="38" t="str">
        <x:v>C03-E065</x:v>
      </x:c>
      <x:c r="B207" s="38" t="str">
        <x:v>C03</x:v>
      </x:c>
      <x:c r="C207" s="38" t="str">
        <x:v>C03-R007</x:v>
      </x:c>
      <x:c r="D207" s="38" t="str">
        <x:v>C03-R091</x:v>
      </x:c>
      <x:c r="E207" s="55" t="n">
        <x:v>36.6</x:v>
      </x:c>
      <x:c r="F207" s="38" t="str">
        <x:v>否</x:v>
      </x:c>
      <x:c r="G207" s="38" t="str">
        <x:v>是</x:v>
      </x:c>
      <x:c r="H207" s="49" t="n">
        <x:v>7.5</x:v>
      </x:c>
      <x:c r="I207" s="49" t="n">
        <x:v>0.3</x:v>
      </x:c>
      <x:c r="J207" s="49" t="str">
        <x:v>无（缘石高差，路侧停车待核）</x:v>
      </x:c>
      <x:c r="K207" s="49" t="n">
        <x:v>3.33</x:v>
      </x:c>
      <x:c r="L207" s="58" t="n">
        <x:f>IF(OR(E207="",K207="",K207=0),"n.a.",E207/K207)</x:f>
        <x:v>10.99099099099099</x:v>
      </x:c>
      <x:c r="M207" s="38" t="str">
        <x:v>00:00—24:00</x:v>
      </x:c>
      <x:c r="N207" s="59" t="n">
        <x:v>0.3</x:v>
      </x:c>
      <x:c r="O207" s="38" t="str">
        <x:v>OSM</x:v>
      </x:c>
      <x:c r="P207" s="38" t="str">
        <x:v>原始社区数据表</x:v>
      </x:c>
      <x:c r="Q207" s="2"/>
      <x:c r="R207" s="2"/>
      <x:c r="S207" s="2"/>
      <x:c r="T207" s="2"/>
      <x:c r="U207" s="2"/>
      <x:c r="V207" s="2"/>
    </x:row>
    <x:row r="208" ht="34" customHeight="1">
      <x:c r="A208" s="38" t="str">
        <x:v>C03-E066</x:v>
      </x:c>
      <x:c r="B208" s="38" t="str">
        <x:v>C03</x:v>
      </x:c>
      <x:c r="C208" s="38" t="str">
        <x:v>C03-R092</x:v>
      </x:c>
      <x:c r="D208" s="38" t="str">
        <x:v>C03-R091</x:v>
      </x:c>
      <x:c r="E208" s="55" t="n">
        <x:v>334.5</x:v>
      </x:c>
      <x:c r="F208" s="38" t="str">
        <x:v>否</x:v>
      </x:c>
      <x:c r="G208" s="38" t="str">
        <x:v>是</x:v>
      </x:c>
      <x:c r="H208" s="49" t="n">
        <x:v>7.5</x:v>
      </x:c>
      <x:c r="I208" s="49" t="n">
        <x:v>0.3</x:v>
      </x:c>
      <x:c r="J208" s="49" t="str">
        <x:v>无（缘石高差，路侧停车待核）</x:v>
      </x:c>
      <x:c r="K208" s="49" t="n">
        <x:v>3.33</x:v>
      </x:c>
      <x:c r="L208" s="58" t="n">
        <x:f>IF(OR(E208="",K208="",K208=0),"n.a.",E208/K208)</x:f>
        <x:v>100.45045045045045</x:v>
      </x:c>
      <x:c r="M208" s="38" t="str">
        <x:v>00:00—24:00</x:v>
      </x:c>
      <x:c r="N208" s="59" t="n">
        <x:v>0.3</x:v>
      </x:c>
      <x:c r="O208" s="38" t="str">
        <x:v>OSM</x:v>
      </x:c>
      <x:c r="P208" s="38" t="str">
        <x:v>原始社区数据表</x:v>
      </x:c>
      <x:c r="Q208" s="2"/>
      <x:c r="R208" s="2"/>
      <x:c r="S208" s="2"/>
      <x:c r="T208" s="2"/>
      <x:c r="U208" s="2"/>
      <x:c r="V208" s="2"/>
    </x:row>
    <x:row r="209" ht="34" customHeight="1">
      <x:c r="A209" s="38" t="str">
        <x:v>C03-E067</x:v>
      </x:c>
      <x:c r="B209" s="38" t="str">
        <x:v>C03</x:v>
      </x:c>
      <x:c r="C209" s="38" t="str">
        <x:v>C03-R091</x:v>
      </x:c>
      <x:c r="D209" s="38" t="str">
        <x:v>C03-R035</x:v>
      </x:c>
      <x:c r="E209" s="55" t="n">
        <x:v>84.9</x:v>
      </x:c>
      <x:c r="F209" s="38" t="str">
        <x:v>否</x:v>
      </x:c>
      <x:c r="G209" s="38" t="str">
        <x:v>是</x:v>
      </x:c>
      <x:c r="H209" s="49" t="n">
        <x:v>7.5</x:v>
      </x:c>
      <x:c r="I209" s="49" t="n">
        <x:v>0.3</x:v>
      </x:c>
      <x:c r="J209" s="49" t="str">
        <x:v>无（缘石高差，路侧停车待核）</x:v>
      </x:c>
      <x:c r="K209" s="49" t="n">
        <x:v>3.33</x:v>
      </x:c>
      <x:c r="L209" s="58" t="n">
        <x:f>IF(OR(E209="",K209="",K209=0),"n.a.",E209/K209)</x:f>
        <x:v>25.495495495495497</x:v>
      </x:c>
      <x:c r="M209" s="38" t="str">
        <x:v>00:00—24:00</x:v>
      </x:c>
      <x:c r="N209" s="59" t="n">
        <x:v>0.3</x:v>
      </x:c>
      <x:c r="O209" s="38" t="str">
        <x:v>OSM</x:v>
      </x:c>
      <x:c r="P209" s="38" t="str">
        <x:v>原始社区数据表</x:v>
      </x:c>
      <x:c r="Q209" s="2"/>
      <x:c r="R209" s="2"/>
      <x:c r="S209" s="2"/>
      <x:c r="T209" s="2"/>
      <x:c r="U209" s="2"/>
      <x:c r="V209" s="2"/>
    </x:row>
    <x:row r="210" ht="34" customHeight="1">
      <x:c r="A210" s="38" t="str">
        <x:v>C03-E068</x:v>
      </x:c>
      <x:c r="B210" s="38" t="str">
        <x:v>C03</x:v>
      </x:c>
      <x:c r="C210" s="38" t="str">
        <x:v>C03-R035</x:v>
      </x:c>
      <x:c r="D210" s="38" t="str">
        <x:v>C03-R093</x:v>
      </x:c>
      <x:c r="E210" s="55" t="n">
        <x:v>8.4</x:v>
      </x:c>
      <x:c r="F210" s="38" t="str">
        <x:v>否</x:v>
      </x:c>
      <x:c r="G210" s="38" t="str">
        <x:v>是</x:v>
      </x:c>
      <x:c r="H210" s="49" t="n">
        <x:v>7.5</x:v>
      </x:c>
      <x:c r="I210" s="49" t="n">
        <x:v>0.3</x:v>
      </x:c>
      <x:c r="J210" s="49" t="str">
        <x:v>无（缘石高差，路侧停车待核）</x:v>
      </x:c>
      <x:c r="K210" s="49" t="n">
        <x:v>3.33</x:v>
      </x:c>
      <x:c r="L210" s="58" t="n">
        <x:f>IF(OR(E210="",K210="",K210=0),"n.a.",E210/K210)</x:f>
        <x:v>2.5225225225225225</x:v>
      </x:c>
      <x:c r="M210" s="38" t="str">
        <x:v>00:00—24:00</x:v>
      </x:c>
      <x:c r="N210" s="59" t="n">
        <x:v>0.3</x:v>
      </x:c>
      <x:c r="O210" s="38" t="str">
        <x:v>OSM</x:v>
      </x:c>
      <x:c r="P210" s="38" t="str">
        <x:v>原始社区数据表</x:v>
      </x:c>
      <x:c r="Q210" s="2"/>
      <x:c r="R210" s="2"/>
      <x:c r="S210" s="2"/>
      <x:c r="T210" s="2"/>
      <x:c r="U210" s="2"/>
      <x:c r="V210" s="2"/>
    </x:row>
    <x:row r="211" ht="34" customHeight="1">
      <x:c r="A211" s="38" t="str">
        <x:v>C03-E069</x:v>
      </x:c>
      <x:c r="B211" s="38" t="str">
        <x:v>C03</x:v>
      </x:c>
      <x:c r="C211" s="38" t="str">
        <x:v>C03-R093</x:v>
      </x:c>
      <x:c r="D211" s="38" t="str">
        <x:v>C03-R094</x:v>
      </x:c>
      <x:c r="E211" s="55" t="n">
        <x:v>291.1</x:v>
      </x:c>
      <x:c r="F211" s="38" t="str">
        <x:v>否</x:v>
      </x:c>
      <x:c r="G211" s="38" t="str">
        <x:v>是</x:v>
      </x:c>
      <x:c r="H211" s="49" t="n">
        <x:v>7.5</x:v>
      </x:c>
      <x:c r="I211" s="49" t="n">
        <x:v>0.3</x:v>
      </x:c>
      <x:c r="J211" s="49" t="str">
        <x:v>无（缘石高差，路侧停车待核）</x:v>
      </x:c>
      <x:c r="K211" s="49" t="n">
        <x:v>3.33</x:v>
      </x:c>
      <x:c r="L211" s="58" t="n">
        <x:f>IF(OR(E211="",K211="",K211=0),"n.a.",E211/K211)</x:f>
        <x:v>87.41741741741743</x:v>
      </x:c>
      <x:c r="M211" s="38" t="str">
        <x:v>00:00—24:00</x:v>
      </x:c>
      <x:c r="N211" s="59" t="n">
        <x:v>0.3</x:v>
      </x:c>
      <x:c r="O211" s="38" t="str">
        <x:v>OSM</x:v>
      </x:c>
      <x:c r="P211" s="38" t="str">
        <x:v>原始社区数据表</x:v>
      </x:c>
      <x:c r="Q211" s="2"/>
      <x:c r="R211" s="2"/>
      <x:c r="S211" s="2"/>
      <x:c r="T211" s="2"/>
      <x:c r="U211" s="2"/>
      <x:c r="V211" s="2"/>
    </x:row>
    <x:row r="212" ht="34" customHeight="1">
      <x:c r="A212" s="38" t="str">
        <x:v>C03-E070</x:v>
      </x:c>
      <x:c r="B212" s="38" t="str">
        <x:v>C03</x:v>
      </x:c>
      <x:c r="C212" s="38" t="str">
        <x:v>C03-R100</x:v>
      </x:c>
      <x:c r="D212" s="38" t="str">
        <x:v>C03-R101</x:v>
      </x:c>
      <x:c r="E212" s="55" t="n">
        <x:v>100.6</x:v>
      </x:c>
      <x:c r="F212" s="38" t="str">
        <x:v>是</x:v>
      </x:c>
      <x:c r="G212" s="38" t="str">
        <x:v>是</x:v>
      </x:c>
      <x:c r="H212" s="49" t="n">
        <x:v>4</x:v>
      </x:c>
      <x:c r="I212" s="49" t="n">
        <x:v>0.3</x:v>
      </x:c>
      <x:c r="J212" s="49" t="str">
        <x:v>无（缘石高差，路侧停车待核）</x:v>
      </x:c>
      <x:c r="K212" s="49" t="n">
        <x:v>2.78</x:v>
      </x:c>
      <x:c r="L212" s="58" t="n">
        <x:f>IF(OR(E212="",K212="",K212=0),"n.a.",E212/K212)</x:f>
        <x:v>36.18705035971223</x:v>
      </x:c>
      <x:c r="M212" s="38" t="str">
        <x:v>00:00—24:00</x:v>
      </x:c>
      <x:c r="N212" s="59" t="n">
        <x:v>0.3</x:v>
      </x:c>
      <x:c r="O212" s="38" t="str">
        <x:v>OSM</x:v>
      </x:c>
      <x:c r="P212" s="38" t="str">
        <x:v>原始社区数据表</x:v>
      </x:c>
      <x:c r="Q212" s="2"/>
      <x:c r="R212" s="2"/>
      <x:c r="S212" s="2"/>
      <x:c r="T212" s="2"/>
      <x:c r="U212" s="2"/>
      <x:c r="V212" s="2"/>
    </x:row>
    <x:row r="213" ht="34" customHeight="1">
      <x:c r="A213" s="38" t="str">
        <x:v>C03-E071</x:v>
      </x:c>
      <x:c r="B213" s="38" t="str">
        <x:v>C03</x:v>
      </x:c>
      <x:c r="C213" s="38" t="str">
        <x:v>C03-R101</x:v>
      </x:c>
      <x:c r="D213" s="38" t="str">
        <x:v>C03-R102</x:v>
      </x:c>
      <x:c r="E213" s="55" t="n">
        <x:v>57.6</x:v>
      </x:c>
      <x:c r="F213" s="38" t="str">
        <x:v>是</x:v>
      </x:c>
      <x:c r="G213" s="38" t="str">
        <x:v>是</x:v>
      </x:c>
      <x:c r="H213" s="49" t="n">
        <x:v>4</x:v>
      </x:c>
      <x:c r="I213" s="49" t="n">
        <x:v>0.3</x:v>
      </x:c>
      <x:c r="J213" s="49" t="str">
        <x:v>无（缘石高差，路侧停车待核）</x:v>
      </x:c>
      <x:c r="K213" s="49" t="n">
        <x:v>2.78</x:v>
      </x:c>
      <x:c r="L213" s="58" t="n">
        <x:f>IF(OR(E213="",K213="",K213=0),"n.a.",E213/K213)</x:f>
        <x:v>20.719424460431657</x:v>
      </x:c>
      <x:c r="M213" s="38" t="str">
        <x:v>00:00—24:00</x:v>
      </x:c>
      <x:c r="N213" s="59" t="n">
        <x:v>0.3</x:v>
      </x:c>
      <x:c r="O213" s="38" t="str">
        <x:v>OSM</x:v>
      </x:c>
      <x:c r="P213" s="38" t="str">
        <x:v>原始社区数据表</x:v>
      </x:c>
      <x:c r="Q213" s="2"/>
      <x:c r="R213" s="2"/>
      <x:c r="S213" s="2"/>
      <x:c r="T213" s="2"/>
      <x:c r="U213" s="2"/>
      <x:c r="V213" s="2"/>
    </x:row>
    <x:row r="214" ht="34" customHeight="1">
      <x:c r="A214" s="38" t="str">
        <x:v>C03-E072</x:v>
      </x:c>
      <x:c r="B214" s="38" t="str">
        <x:v>C03</x:v>
      </x:c>
      <x:c r="C214" s="38" t="str">
        <x:v>C03-R010</x:v>
      </x:c>
      <x:c r="D214" s="38" t="str">
        <x:v>C03-R105</x:v>
      </x:c>
      <x:c r="E214" s="55" t="n">
        <x:v>30</x:v>
      </x:c>
      <x:c r="F214" s="38" t="str">
        <x:v>否</x:v>
      </x:c>
      <x:c r="G214" s="38" t="str">
        <x:v>是</x:v>
      </x:c>
      <x:c r="H214" s="49" t="n">
        <x:v>7.5</x:v>
      </x:c>
      <x:c r="I214" s="49" t="n">
        <x:v>0.3</x:v>
      </x:c>
      <x:c r="J214" s="49" t="str">
        <x:v>无（缘石高差，路侧停车待核）</x:v>
      </x:c>
      <x:c r="K214" s="49" t="n">
        <x:v>3.33</x:v>
      </x:c>
      <x:c r="L214" s="58" t="n">
        <x:f>IF(OR(E214="",K214="",K214=0),"n.a.",E214/K214)</x:f>
        <x:v>9.00900900900901</x:v>
      </x:c>
      <x:c r="M214" s="38" t="str">
        <x:v>00:00—24:00</x:v>
      </x:c>
      <x:c r="N214" s="59" t="n">
        <x:v>0.3</x:v>
      </x:c>
      <x:c r="O214" s="38" t="str">
        <x:v>OSM</x:v>
      </x:c>
      <x:c r="P214" s="38" t="str">
        <x:v>原始社区数据表</x:v>
      </x:c>
      <x:c r="Q214" s="2"/>
      <x:c r="R214" s="2"/>
      <x:c r="S214" s="2"/>
      <x:c r="T214" s="2"/>
      <x:c r="U214" s="2"/>
      <x:c r="V214" s="2"/>
    </x:row>
    <x:row r="215" ht="34" customHeight="1">
      <x:c r="A215" s="38" t="str">
        <x:v>C03-E073</x:v>
      </x:c>
      <x:c r="B215" s="38" t="str">
        <x:v>C03</x:v>
      </x:c>
      <x:c r="C215" s="38" t="str">
        <x:v>C03-R047</x:v>
      </x:c>
      <x:c r="D215" s="38" t="str">
        <x:v>C03-R106</x:v>
      </x:c>
      <x:c r="E215" s="55" t="n">
        <x:v>10.2</x:v>
      </x:c>
      <x:c r="F215" s="38" t="str">
        <x:v>否</x:v>
      </x:c>
      <x:c r="G215" s="38" t="str">
        <x:v>是</x:v>
      </x:c>
      <x:c r="H215" s="49" t="n">
        <x:v>7.5</x:v>
      </x:c>
      <x:c r="I215" s="49" t="n">
        <x:v>0.3</x:v>
      </x:c>
      <x:c r="J215" s="49" t="str">
        <x:v>无（缘石高差，路侧停车待核）</x:v>
      </x:c>
      <x:c r="K215" s="49" t="n">
        <x:v>3.33</x:v>
      </x:c>
      <x:c r="L215" s="58" t="n">
        <x:f>IF(OR(E215="",K215="",K215=0),"n.a.",E215/K215)</x:f>
        <x:v>3.063063063063063</x:v>
      </x:c>
      <x:c r="M215" s="38" t="str">
        <x:v>00:00—24:00</x:v>
      </x:c>
      <x:c r="N215" s="59" t="n">
        <x:v>0.3</x:v>
      </x:c>
      <x:c r="O215" s="38" t="str">
        <x:v>OSM</x:v>
      </x:c>
      <x:c r="P215" s="38" t="str">
        <x:v>原始社区数据表</x:v>
      </x:c>
      <x:c r="Q215" s="2"/>
      <x:c r="R215" s="2"/>
      <x:c r="S215" s="2"/>
      <x:c r="T215" s="2"/>
      <x:c r="U215" s="2"/>
      <x:c r="V215" s="2"/>
    </x:row>
    <x:row r="216" ht="34" customHeight="1">
      <x:c r="A216" s="38" t="str">
        <x:v>C03-E074</x:v>
      </x:c>
      <x:c r="B216" s="38" t="str">
        <x:v>C03</x:v>
      </x:c>
      <x:c r="C216" s="38" t="str">
        <x:v>C03-R106</x:v>
      </x:c>
      <x:c r="D216" s="38" t="str">
        <x:v>C03-R083</x:v>
      </x:c>
      <x:c r="E216" s="55" t="n">
        <x:v>65.5</x:v>
      </x:c>
      <x:c r="F216" s="38" t="str">
        <x:v>否</x:v>
      </x:c>
      <x:c r="G216" s="38" t="str">
        <x:v>是</x:v>
      </x:c>
      <x:c r="H216" s="49" t="n">
        <x:v>7.5</x:v>
      </x:c>
      <x:c r="I216" s="49" t="n">
        <x:v>0.3</x:v>
      </x:c>
      <x:c r="J216" s="49" t="str">
        <x:v>无（缘石高差，路侧停车待核）</x:v>
      </x:c>
      <x:c r="K216" s="49" t="n">
        <x:v>3.33</x:v>
      </x:c>
      <x:c r="L216" s="58" t="n">
        <x:f>IF(OR(E216="",K216="",K216=0),"n.a.",E216/K216)</x:f>
        <x:v>19.66966966966967</x:v>
      </x:c>
      <x:c r="M216" s="38" t="str">
        <x:v>00:00—24:00</x:v>
      </x:c>
      <x:c r="N216" s="59" t="n">
        <x:v>0.3</x:v>
      </x:c>
      <x:c r="O216" s="38" t="str">
        <x:v>OSM</x:v>
      </x:c>
      <x:c r="P216" s="38" t="str">
        <x:v>原始社区数据表</x:v>
      </x:c>
      <x:c r="Q216" s="2"/>
      <x:c r="R216" s="2"/>
      <x:c r="S216" s="2"/>
      <x:c r="T216" s="2"/>
      <x:c r="U216" s="2"/>
      <x:c r="V216" s="2"/>
    </x:row>
    <x:row r="217" ht="34" customHeight="1">
      <x:c r="A217" s="38" t="str">
        <x:v>C03-E075</x:v>
      </x:c>
      <x:c r="B217" s="38" t="str">
        <x:v>C03</x:v>
      </x:c>
      <x:c r="C217" s="38" t="str">
        <x:v>C03-R107</x:v>
      </x:c>
      <x:c r="D217" s="38" t="str">
        <x:v>C03-R108</x:v>
      </x:c>
      <x:c r="E217" s="55" t="n">
        <x:v>28.6</x:v>
      </x:c>
      <x:c r="F217" s="38" t="str">
        <x:v>否</x:v>
      </x:c>
      <x:c r="G217" s="38" t="str">
        <x:v>是</x:v>
      </x:c>
      <x:c r="H217" s="49" t="n">
        <x:v>7.5</x:v>
      </x:c>
      <x:c r="I217" s="49" t="n">
        <x:v>0.3</x:v>
      </x:c>
      <x:c r="J217" s="49" t="str">
        <x:v>无（缘石高差，路侧停车待核）</x:v>
      </x:c>
      <x:c r="K217" s="49" t="n">
        <x:v>3.33</x:v>
      </x:c>
      <x:c r="L217" s="58" t="n">
        <x:f>IF(OR(E217="",K217="",K217=0),"n.a.",E217/K217)</x:f>
        <x:v>8.588588588588589</x:v>
      </x:c>
      <x:c r="M217" s="38" t="str">
        <x:v>00:00—24:00</x:v>
      </x:c>
      <x:c r="N217" s="59" t="n">
        <x:v>0.3</x:v>
      </x:c>
      <x:c r="O217" s="38" t="str">
        <x:v>OSM</x:v>
      </x:c>
      <x:c r="P217" s="38" t="str">
        <x:v>原始社区数据表</x:v>
      </x:c>
      <x:c r="Q217" s="2"/>
      <x:c r="R217" s="2"/>
      <x:c r="S217" s="2"/>
      <x:c r="T217" s="2"/>
      <x:c r="U217" s="2"/>
      <x:c r="V217" s="2"/>
    </x:row>
    <x:row r="218" ht="34" customHeight="1">
      <x:c r="A218" s="38" t="str">
        <x:v>C03-E076</x:v>
      </x:c>
      <x:c r="B218" s="38" t="str">
        <x:v>C03</x:v>
      </x:c>
      <x:c r="C218" s="38" t="str">
        <x:v>C03-R047</x:v>
      </x:c>
      <x:c r="D218" s="38" t="str">
        <x:v>C03-R109</x:v>
      </x:c>
      <x:c r="E218" s="55" t="n">
        <x:v>216.4</x:v>
      </x:c>
      <x:c r="F218" s="38" t="str">
        <x:v>否</x:v>
      </x:c>
      <x:c r="G218" s="38" t="str">
        <x:v>是</x:v>
      </x:c>
      <x:c r="H218" s="49" t="n">
        <x:v>7.5</x:v>
      </x:c>
      <x:c r="I218" s="49" t="n">
        <x:v>0.3</x:v>
      </x:c>
      <x:c r="J218" s="49" t="str">
        <x:v>无（缘石高差，路侧停车待核）</x:v>
      </x:c>
      <x:c r="K218" s="49" t="n">
        <x:v>3.33</x:v>
      </x:c>
      <x:c r="L218" s="58" t="n">
        <x:f>IF(OR(E218="",K218="",K218=0),"n.a.",E218/K218)</x:f>
        <x:v>64.98498498498499</x:v>
      </x:c>
      <x:c r="M218" s="38" t="str">
        <x:v>00:00—24:00</x:v>
      </x:c>
      <x:c r="N218" s="59" t="n">
        <x:v>0.3</x:v>
      </x:c>
      <x:c r="O218" s="38" t="str">
        <x:v>OSM</x:v>
      </x:c>
      <x:c r="P218" s="38" t="str">
        <x:v>原始社区数据表</x:v>
      </x:c>
      <x:c r="Q218" s="2"/>
      <x:c r="R218" s="2"/>
      <x:c r="S218" s="2"/>
      <x:c r="T218" s="2"/>
      <x:c r="U218" s="2"/>
      <x:c r="V218" s="2"/>
    </x:row>
    <x:row r="219" ht="34" customHeight="1">
      <x:c r="A219" s="38" t="str">
        <x:v>C03-E077</x:v>
      </x:c>
      <x:c r="B219" s="38" t="str">
        <x:v>C03</x:v>
      </x:c>
      <x:c r="C219" s="38" t="str">
        <x:v>C03-R109</x:v>
      </x:c>
      <x:c r="D219" s="38" t="str">
        <x:v>C03-R050</x:v>
      </x:c>
      <x:c r="E219" s="55" t="n">
        <x:v>63</x:v>
      </x:c>
      <x:c r="F219" s="38" t="str">
        <x:v>否</x:v>
      </x:c>
      <x:c r="G219" s="38" t="str">
        <x:v>是</x:v>
      </x:c>
      <x:c r="H219" s="49" t="n">
        <x:v>7.5</x:v>
      </x:c>
      <x:c r="I219" s="49" t="n">
        <x:v>0.3</x:v>
      </x:c>
      <x:c r="J219" s="49" t="str">
        <x:v>无（缘石高差，路侧停车待核）</x:v>
      </x:c>
      <x:c r="K219" s="49" t="n">
        <x:v>3.33</x:v>
      </x:c>
      <x:c r="L219" s="58" t="n">
        <x:f>IF(OR(E219="",K219="",K219=0),"n.a.",E219/K219)</x:f>
        <x:v>18.91891891891892</x:v>
      </x:c>
      <x:c r="M219" s="38" t="str">
        <x:v>00:00—24:00</x:v>
      </x:c>
      <x:c r="N219" s="59" t="n">
        <x:v>0.3</x:v>
      </x:c>
      <x:c r="O219" s="38" t="str">
        <x:v>OSM</x:v>
      </x:c>
      <x:c r="P219" s="38" t="str">
        <x:v>原始社区数据表</x:v>
      </x:c>
      <x:c r="Q219" s="2"/>
      <x:c r="R219" s="2"/>
      <x:c r="S219" s="2"/>
      <x:c r="T219" s="2"/>
      <x:c r="U219" s="2"/>
      <x:c r="V219" s="2"/>
    </x:row>
    <x:row r="220" ht="34" customHeight="1">
      <x:c r="A220" s="38" t="str">
        <x:v>C03-E078</x:v>
      </x:c>
      <x:c r="B220" s="38" t="str">
        <x:v>C03</x:v>
      </x:c>
      <x:c r="C220" s="38" t="str">
        <x:v>C03-R050</x:v>
      </x:c>
      <x:c r="D220" s="38" t="str">
        <x:v>C03-R110</x:v>
      </x:c>
      <x:c r="E220" s="55" t="n">
        <x:v>175.7</x:v>
      </x:c>
      <x:c r="F220" s="38" t="str">
        <x:v>否</x:v>
      </x:c>
      <x:c r="G220" s="38" t="str">
        <x:v>是</x:v>
      </x:c>
      <x:c r="H220" s="49" t="n">
        <x:v>7.5</x:v>
      </x:c>
      <x:c r="I220" s="49" t="n">
        <x:v>0.3</x:v>
      </x:c>
      <x:c r="J220" s="49" t="str">
        <x:v>无（缘石高差，路侧停车待核）</x:v>
      </x:c>
      <x:c r="K220" s="49" t="n">
        <x:v>3.33</x:v>
      </x:c>
      <x:c r="L220" s="58" t="n">
        <x:f>IF(OR(E220="",K220="",K220=0),"n.a.",E220/K220)</x:f>
        <x:v>52.762762762762755</x:v>
      </x:c>
      <x:c r="M220" s="38" t="str">
        <x:v>00:00—24:00</x:v>
      </x:c>
      <x:c r="N220" s="59" t="n">
        <x:v>0.3</x:v>
      </x:c>
      <x:c r="O220" s="38" t="str">
        <x:v>OSM</x:v>
      </x:c>
      <x:c r="P220" s="38" t="str">
        <x:v>原始社区数据表</x:v>
      </x:c>
      <x:c r="Q220" s="2"/>
      <x:c r="R220" s="2"/>
      <x:c r="S220" s="2"/>
      <x:c r="T220" s="2"/>
      <x:c r="U220" s="2"/>
      <x:c r="V220" s="2"/>
    </x:row>
    <x:row r="221" ht="34" customHeight="1">
      <x:c r="A221" s="38" t="str">
        <x:v>C03-E079</x:v>
      </x:c>
      <x:c r="B221" s="38" t="str">
        <x:v>C03</x:v>
      </x:c>
      <x:c r="C221" s="38" t="str">
        <x:v>C03-R107</x:v>
      </x:c>
      <x:c r="D221" s="38" t="str">
        <x:v>C03-R011</x:v>
      </x:c>
      <x:c r="E221" s="55" t="n">
        <x:v>121.2</x:v>
      </x:c>
      <x:c r="F221" s="38" t="str">
        <x:v>否</x:v>
      </x:c>
      <x:c r="G221" s="38" t="str">
        <x:v>是</x:v>
      </x:c>
      <x:c r="H221" s="49" t="n">
        <x:v>12</x:v>
      </x:c>
      <x:c r="I221" s="49" t="n">
        <x:v>0.3</x:v>
      </x:c>
      <x:c r="J221" s="49" t="str">
        <x:v>无（缘石高差，路侧停车待核）</x:v>
      </x:c>
      <x:c r="K221" s="49" t="n">
        <x:v>3.33</x:v>
      </x:c>
      <x:c r="L221" s="58" t="n">
        <x:f>IF(OR(E221="",K221="",K221=0),"n.a.",E221/K221)</x:f>
        <x:v>36.3963963963964</x:v>
      </x:c>
      <x:c r="M221" s="38" t="str">
        <x:v>00:00—24:00</x:v>
      </x:c>
      <x:c r="N221" s="59" t="n">
        <x:v>0.3</x:v>
      </x:c>
      <x:c r="O221" s="38" t="str">
        <x:v>OSM</x:v>
      </x:c>
      <x:c r="P221" s="38" t="str">
        <x:v>原始社区数据表</x:v>
      </x:c>
      <x:c r="Q221" s="2"/>
      <x:c r="R221" s="2"/>
      <x:c r="S221" s="2"/>
      <x:c r="T221" s="2"/>
      <x:c r="U221" s="2"/>
      <x:c r="V221" s="2"/>
    </x:row>
    <x:row r="222" ht="34" customHeight="1">
      <x:c r="A222" s="38" t="str">
        <x:v>C03-E080</x:v>
      </x:c>
      <x:c r="B222" s="38" t="str">
        <x:v>C03</x:v>
      </x:c>
      <x:c r="C222" s="38" t="str">
        <x:v>C03-R012</x:v>
      </x:c>
      <x:c r="D222" s="38" t="str">
        <x:v>C03-R089</x:v>
      </x:c>
      <x:c r="E222" s="55" t="n">
        <x:v>294.2</x:v>
      </x:c>
      <x:c r="F222" s="38" t="str">
        <x:v>否</x:v>
      </x:c>
      <x:c r="G222" s="38" t="str">
        <x:v>是</x:v>
      </x:c>
      <x:c r="H222" s="49" t="n">
        <x:v>12</x:v>
      </x:c>
      <x:c r="I222" s="49" t="n">
        <x:v>0.3</x:v>
      </x:c>
      <x:c r="J222" s="49" t="str">
        <x:v>无（缘石高差，路侧停车待核）</x:v>
      </x:c>
      <x:c r="K222" s="49" t="n">
        <x:v>3.33</x:v>
      </x:c>
      <x:c r="L222" s="58" t="n">
        <x:f>IF(OR(E222="",K222="",K222=0),"n.a.",E222/K222)</x:f>
        <x:v>88.34834834834834</x:v>
      </x:c>
      <x:c r="M222" s="38" t="str">
        <x:v>00:00—24:00</x:v>
      </x:c>
      <x:c r="N222" s="59" t="n">
        <x:v>0.3</x:v>
      </x:c>
      <x:c r="O222" s="38" t="str">
        <x:v>OSM</x:v>
      </x:c>
      <x:c r="P222" s="38" t="str">
        <x:v>原始社区数据表</x:v>
      </x:c>
      <x:c r="Q222" s="2"/>
      <x:c r="R222" s="2"/>
      <x:c r="S222" s="2"/>
      <x:c r="T222" s="2"/>
      <x:c r="U222" s="2"/>
      <x:c r="V222" s="2"/>
    </x:row>
    <x:row r="223" ht="34" customHeight="1">
      <x:c r="A223" s="38" t="str">
        <x:v>C03-E081</x:v>
      </x:c>
      <x:c r="B223" s="38" t="str">
        <x:v>C03</x:v>
      </x:c>
      <x:c r="C223" s="38" t="str">
        <x:v>C03-R103</x:v>
      </x:c>
      <x:c r="D223" s="38" t="str">
        <x:v>C03-R108</x:v>
      </x:c>
      <x:c r="E223" s="55" t="n">
        <x:v>135.1</x:v>
      </x:c>
      <x:c r="F223" s="38" t="str">
        <x:v>否</x:v>
      </x:c>
      <x:c r="G223" s="38" t="str">
        <x:v>是</x:v>
      </x:c>
      <x:c r="H223" s="49" t="n">
        <x:v>7.5</x:v>
      </x:c>
      <x:c r="I223" s="49" t="n">
        <x:v>0.3</x:v>
      </x:c>
      <x:c r="J223" s="49" t="str">
        <x:v>无（缘石高差，路侧停车待核）</x:v>
      </x:c>
      <x:c r="K223" s="49" t="n">
        <x:v>3.33</x:v>
      </x:c>
      <x:c r="L223" s="58" t="n">
        <x:f>IF(OR(E223="",K223="",K223=0),"n.a.",E223/K223)</x:f>
        <x:v>40.57057057057057</x:v>
      </x:c>
      <x:c r="M223" s="38" t="str">
        <x:v>00:00—24:00</x:v>
      </x:c>
      <x:c r="N223" s="59" t="n">
        <x:v>0.3</x:v>
      </x:c>
      <x:c r="O223" s="38" t="str">
        <x:v>OSM</x:v>
      </x:c>
      <x:c r="P223" s="38" t="str">
        <x:v>原始社区数据表</x:v>
      </x:c>
      <x:c r="Q223" s="2"/>
      <x:c r="R223" s="2"/>
      <x:c r="S223" s="2"/>
      <x:c r="T223" s="2"/>
      <x:c r="U223" s="2"/>
      <x:c r="V223" s="2"/>
    </x:row>
    <x:row r="224" ht="34" customHeight="1">
      <x:c r="A224" s="38" t="str">
        <x:v>C03-E082</x:v>
      </x:c>
      <x:c r="B224" s="38" t="str">
        <x:v>C03</x:v>
      </x:c>
      <x:c r="C224" s="38" t="str">
        <x:v>C03-R108</x:v>
      </x:c>
      <x:c r="D224" s="38" t="str">
        <x:v>C03-R017</x:v>
      </x:c>
      <x:c r="E224" s="55" t="n">
        <x:v>96.4</x:v>
      </x:c>
      <x:c r="F224" s="38" t="str">
        <x:v>否</x:v>
      </x:c>
      <x:c r="G224" s="38" t="str">
        <x:v>是</x:v>
      </x:c>
      <x:c r="H224" s="49" t="n">
        <x:v>7.5</x:v>
      </x:c>
      <x:c r="I224" s="49" t="n">
        <x:v>0.3</x:v>
      </x:c>
      <x:c r="J224" s="49" t="str">
        <x:v>无（缘石高差，路侧停车待核）</x:v>
      </x:c>
      <x:c r="K224" s="49" t="n">
        <x:v>3.33</x:v>
      </x:c>
      <x:c r="L224" s="58" t="n">
        <x:f>IF(OR(E224="",K224="",K224=0),"n.a.",E224/K224)</x:f>
        <x:v>28.94894894894895</x:v>
      </x:c>
      <x:c r="M224" s="38" t="str">
        <x:v>00:00—24:00</x:v>
      </x:c>
      <x:c r="N224" s="59" t="n">
        <x:v>0.3</x:v>
      </x:c>
      <x:c r="O224" s="38" t="str">
        <x:v>OSM</x:v>
      </x:c>
      <x:c r="P224" s="38" t="str">
        <x:v>原始社区数据表</x:v>
      </x:c>
      <x:c r="Q224" s="2"/>
      <x:c r="R224" s="2"/>
      <x:c r="S224" s="2"/>
      <x:c r="T224" s="2"/>
      <x:c r="U224" s="2"/>
      <x:c r="V224" s="2"/>
    </x:row>
    <x:row r="225" ht="34" customHeight="1">
      <x:c r="A225" s="38" t="str">
        <x:v>C03-E083</x:v>
      </x:c>
      <x:c r="B225" s="38" t="str">
        <x:v>C03</x:v>
      </x:c>
      <x:c r="C225" s="38" t="str">
        <x:v>C03-R017</x:v>
      </x:c>
      <x:c r="D225" s="38" t="str">
        <x:v>C03-R143</x:v>
      </x:c>
      <x:c r="E225" s="55" t="n">
        <x:v>6.8</x:v>
      </x:c>
      <x:c r="F225" s="38" t="str">
        <x:v>否</x:v>
      </x:c>
      <x:c r="G225" s="38" t="str">
        <x:v>是</x:v>
      </x:c>
      <x:c r="H225" s="49" t="n">
        <x:v>7.5</x:v>
      </x:c>
      <x:c r="I225" s="49" t="n">
        <x:v>0.3</x:v>
      </x:c>
      <x:c r="J225" s="49" t="str">
        <x:v>无（缘石高差，路侧停车待核）</x:v>
      </x:c>
      <x:c r="K225" s="49" t="n">
        <x:v>3.33</x:v>
      </x:c>
      <x:c r="L225" s="58" t="n">
        <x:f>IF(OR(E225="",K225="",K225=0),"n.a.",E225/K225)</x:f>
        <x:v>2.0420420420420418</x:v>
      </x:c>
      <x:c r="M225" s="38" t="str">
        <x:v>00:00—24:00</x:v>
      </x:c>
      <x:c r="N225" s="59" t="n">
        <x:v>0.3</x:v>
      </x:c>
      <x:c r="O225" s="38" t="str">
        <x:v>OSM</x:v>
      </x:c>
      <x:c r="P225" s="38" t="str">
        <x:v>原始社区数据表</x:v>
      </x:c>
      <x:c r="Q225" s="2"/>
      <x:c r="R225" s="2"/>
      <x:c r="S225" s="2"/>
      <x:c r="T225" s="2"/>
      <x:c r="U225" s="2"/>
      <x:c r="V225" s="2"/>
    </x:row>
    <x:row r="226" ht="34" customHeight="1">
      <x:c r="A226" s="38" t="str">
        <x:v>C03-E084</x:v>
      </x:c>
      <x:c r="B226" s="38" t="str">
        <x:v>C03</x:v>
      </x:c>
      <x:c r="C226" s="38" t="str">
        <x:v>C03-R029</x:v>
      </x:c>
      <x:c r="D226" s="38" t="str">
        <x:v>C03-R144</x:v>
      </x:c>
      <x:c r="E226" s="55" t="n">
        <x:v>218.2</x:v>
      </x:c>
      <x:c r="F226" s="38" t="str">
        <x:v>否</x:v>
      </x:c>
      <x:c r="G226" s="38" t="str">
        <x:v>是</x:v>
      </x:c>
      <x:c r="H226" s="49" t="n">
        <x:v>7.5</x:v>
      </x:c>
      <x:c r="I226" s="49" t="n">
        <x:v>0.3</x:v>
      </x:c>
      <x:c r="J226" s="49" t="str">
        <x:v>无（缘石高差，路侧停车待核）</x:v>
      </x:c>
      <x:c r="K226" s="49" t="n">
        <x:v>3.33</x:v>
      </x:c>
      <x:c r="L226" s="58" t="n">
        <x:f>IF(OR(E226="",K226="",K226=0),"n.a.",E226/K226)</x:f>
        <x:v>65.52552552552552</x:v>
      </x:c>
      <x:c r="M226" s="38" t="str">
        <x:v>00:00—24:00</x:v>
      </x:c>
      <x:c r="N226" s="59" t="n">
        <x:v>0.3</x:v>
      </x:c>
      <x:c r="O226" s="38" t="str">
        <x:v>OSM</x:v>
      </x:c>
      <x:c r="P226" s="38" t="str">
        <x:v>原始社区数据表</x:v>
      </x:c>
      <x:c r="Q226" s="2"/>
      <x:c r="R226" s="2"/>
      <x:c r="S226" s="2"/>
      <x:c r="T226" s="2"/>
      <x:c r="U226" s="2"/>
      <x:c r="V226" s="2"/>
    </x:row>
    <x:row r="227" ht="34" customHeight="1">
      <x:c r="A227" s="38" t="str">
        <x:v>C03-E085</x:v>
      </x:c>
      <x:c r="B227" s="38" t="str">
        <x:v>C03</x:v>
      </x:c>
      <x:c r="C227" s="38" t="str">
        <x:v>C03-R144</x:v>
      </x:c>
      <x:c r="D227" s="38" t="str">
        <x:v>C03-R145</x:v>
      </x:c>
      <x:c r="E227" s="55" t="n">
        <x:v>25.5</x:v>
      </x:c>
      <x:c r="F227" s="38" t="str">
        <x:v>否</x:v>
      </x:c>
      <x:c r="G227" s="38" t="str">
        <x:v>是</x:v>
      </x:c>
      <x:c r="H227" s="49" t="n">
        <x:v>7.5</x:v>
      </x:c>
      <x:c r="I227" s="49" t="n">
        <x:v>0.3</x:v>
      </x:c>
      <x:c r="J227" s="49" t="str">
        <x:v>无（缘石高差，路侧停车待核）</x:v>
      </x:c>
      <x:c r="K227" s="49" t="n">
        <x:v>3.33</x:v>
      </x:c>
      <x:c r="L227" s="58" t="n">
        <x:f>IF(OR(E227="",K227="",K227=0),"n.a.",E227/K227)</x:f>
        <x:v>7.657657657657658</x:v>
      </x:c>
      <x:c r="M227" s="38" t="str">
        <x:v>00:00—24:00</x:v>
      </x:c>
      <x:c r="N227" s="59" t="n">
        <x:v>0.3</x:v>
      </x:c>
      <x:c r="O227" s="38" t="str">
        <x:v>OSM</x:v>
      </x:c>
      <x:c r="P227" s="38" t="str">
        <x:v>原始社区数据表</x:v>
      </x:c>
      <x:c r="Q227" s="2"/>
      <x:c r="R227" s="2"/>
      <x:c r="S227" s="2"/>
      <x:c r="T227" s="2"/>
      <x:c r="U227" s="2"/>
      <x:c r="V227" s="2"/>
    </x:row>
    <x:row r="228" ht="34" customHeight="1">
      <x:c r="A228" s="38" t="str">
        <x:v>C03-E086</x:v>
      </x:c>
      <x:c r="B228" s="38" t="str">
        <x:v>C03</x:v>
      </x:c>
      <x:c r="C228" s="38" t="str">
        <x:v>C03-R145</x:v>
      </x:c>
      <x:c r="D228" s="38" t="str">
        <x:v>C03-R146</x:v>
      </x:c>
      <x:c r="E228" s="55" t="n">
        <x:v>59.3</x:v>
      </x:c>
      <x:c r="F228" s="38" t="str">
        <x:v>否</x:v>
      </x:c>
      <x:c r="G228" s="38" t="str">
        <x:v>是</x:v>
      </x:c>
      <x:c r="H228" s="49" t="n">
        <x:v>7.5</x:v>
      </x:c>
      <x:c r="I228" s="49" t="n">
        <x:v>0.3</x:v>
      </x:c>
      <x:c r="J228" s="49" t="str">
        <x:v>无（缘石高差，路侧停车待核）</x:v>
      </x:c>
      <x:c r="K228" s="49" t="n">
        <x:v>3.33</x:v>
      </x:c>
      <x:c r="L228" s="58" t="n">
        <x:f>IF(OR(E228="",K228="",K228=0),"n.a.",E228/K228)</x:f>
        <x:v>17.807807807807805</x:v>
      </x:c>
      <x:c r="M228" s="38" t="str">
        <x:v>00:00—24:00</x:v>
      </x:c>
      <x:c r="N228" s="59" t="n">
        <x:v>0.3</x:v>
      </x:c>
      <x:c r="O228" s="38" t="str">
        <x:v>OSM</x:v>
      </x:c>
      <x:c r="P228" s="38" t="str">
        <x:v>原始社区数据表</x:v>
      </x:c>
      <x:c r="Q228" s="2"/>
      <x:c r="R228" s="2"/>
      <x:c r="S228" s="2"/>
      <x:c r="T228" s="2"/>
      <x:c r="U228" s="2"/>
      <x:c r="V228" s="2"/>
    </x:row>
    <x:row r="229" ht="34" customHeight="1">
      <x:c r="A229" s="38" t="str">
        <x:v>C03-E087</x:v>
      </x:c>
      <x:c r="B229" s="38" t="str">
        <x:v>C03</x:v>
      </x:c>
      <x:c r="C229" s="38" t="str">
        <x:v>C03-R146</x:v>
      </x:c>
      <x:c r="D229" s="38" t="str">
        <x:v>C03-R092</x:v>
      </x:c>
      <x:c r="E229" s="55" t="n">
        <x:v>84.1</x:v>
      </x:c>
      <x:c r="F229" s="38" t="str">
        <x:v>否</x:v>
      </x:c>
      <x:c r="G229" s="38" t="str">
        <x:v>是</x:v>
      </x:c>
      <x:c r="H229" s="49" t="n">
        <x:v>7.5</x:v>
      </x:c>
      <x:c r="I229" s="49" t="n">
        <x:v>0.3</x:v>
      </x:c>
      <x:c r="J229" s="49" t="str">
        <x:v>无（缘石高差，路侧停车待核）</x:v>
      </x:c>
      <x:c r="K229" s="49" t="n">
        <x:v>3.33</x:v>
      </x:c>
      <x:c r="L229" s="58" t="n">
        <x:f>IF(OR(E229="",K229="",K229=0),"n.a.",E229/K229)</x:f>
        <x:v>25.255255255255253</x:v>
      </x:c>
      <x:c r="M229" s="38" t="str">
        <x:v>00:00—24:00</x:v>
      </x:c>
      <x:c r="N229" s="59" t="n">
        <x:v>0.3</x:v>
      </x:c>
      <x:c r="O229" s="38" t="str">
        <x:v>OSM</x:v>
      </x:c>
      <x:c r="P229" s="38" t="str">
        <x:v>原始社区数据表</x:v>
      </x:c>
      <x:c r="Q229" s="2"/>
      <x:c r="R229" s="2"/>
      <x:c r="S229" s="2"/>
      <x:c r="T229" s="2"/>
      <x:c r="U229" s="2"/>
      <x:c r="V229" s="2"/>
    </x:row>
    <x:row r="230" ht="34" customHeight="1">
      <x:c r="A230" s="38" t="str">
        <x:v>C03-E088</x:v>
      </x:c>
      <x:c r="B230" s="38" t="str">
        <x:v>C03</x:v>
      </x:c>
      <x:c r="C230" s="38" t="str">
        <x:v>C03-R092</x:v>
      </x:c>
      <x:c r="D230" s="38" t="str">
        <x:v>C03-R006</x:v>
      </x:c>
      <x:c r="E230" s="55" t="n">
        <x:v>13.9</x:v>
      </x:c>
      <x:c r="F230" s="38" t="str">
        <x:v>否</x:v>
      </x:c>
      <x:c r="G230" s="38" t="str">
        <x:v>是</x:v>
      </x:c>
      <x:c r="H230" s="49" t="n">
        <x:v>7.5</x:v>
      </x:c>
      <x:c r="I230" s="49" t="n">
        <x:v>0.3</x:v>
      </x:c>
      <x:c r="J230" s="49" t="str">
        <x:v>无（缘石高差，路侧停车待核）</x:v>
      </x:c>
      <x:c r="K230" s="49" t="n">
        <x:v>3.33</x:v>
      </x:c>
      <x:c r="L230" s="58" t="n">
        <x:f>IF(OR(E230="",K230="",K230=0),"n.a.",E230/K230)</x:f>
        <x:v>4.1741741741741745</x:v>
      </x:c>
      <x:c r="M230" s="38" t="str">
        <x:v>00:00—24:00</x:v>
      </x:c>
      <x:c r="N230" s="59" t="n">
        <x:v>0.3</x:v>
      </x:c>
      <x:c r="O230" s="38" t="str">
        <x:v>OSM</x:v>
      </x:c>
      <x:c r="P230" s="38" t="str">
        <x:v>原始社区数据表</x:v>
      </x:c>
      <x:c r="Q230" s="2"/>
      <x:c r="R230" s="2"/>
      <x:c r="S230" s="2"/>
      <x:c r="T230" s="2"/>
      <x:c r="U230" s="2"/>
      <x:c r="V230" s="2"/>
    </x:row>
    <x:row r="231" ht="34" customHeight="1">
      <x:c r="A231" s="38" t="str">
        <x:v>C03-E089</x:v>
      </x:c>
      <x:c r="B231" s="38" t="str">
        <x:v>C03</x:v>
      </x:c>
      <x:c r="C231" s="38" t="str">
        <x:v>C03-R006</x:v>
      </x:c>
      <x:c r="D231" s="38" t="str">
        <x:v>C03-R001</x:v>
      </x:c>
      <x:c r="E231" s="55" t="n">
        <x:v>19.2</x:v>
      </x:c>
      <x:c r="F231" s="38" t="str">
        <x:v>否</x:v>
      </x:c>
      <x:c r="G231" s="38" t="str">
        <x:v>是</x:v>
      </x:c>
      <x:c r="H231" s="49" t="n">
        <x:v>7.5</x:v>
      </x:c>
      <x:c r="I231" s="49" t="n">
        <x:v>0.3</x:v>
      </x:c>
      <x:c r="J231" s="49" t="str">
        <x:v>无（缘石高差，路侧停车待核）</x:v>
      </x:c>
      <x:c r="K231" s="49" t="n">
        <x:v>3.33</x:v>
      </x:c>
      <x:c r="L231" s="58" t="n">
        <x:f>IF(OR(E231="",K231="",K231=0),"n.a.",E231/K231)</x:f>
        <x:v>5.7657657657657655</x:v>
      </x:c>
      <x:c r="M231" s="38" t="str">
        <x:v>00:00—24:00</x:v>
      </x:c>
      <x:c r="N231" s="59" t="n">
        <x:v>0.3</x:v>
      </x:c>
      <x:c r="O231" s="38" t="str">
        <x:v>OSM</x:v>
      </x:c>
      <x:c r="P231" s="38" t="str">
        <x:v>原始社区数据表</x:v>
      </x:c>
      <x:c r="Q231" s="2"/>
      <x:c r="R231" s="2"/>
      <x:c r="S231" s="2"/>
      <x:c r="T231" s="2"/>
      <x:c r="U231" s="2"/>
      <x:c r="V231" s="2"/>
    </x:row>
    <x:row r="232" ht="34" customHeight="1">
      <x:c r="A232" s="38" t="str">
        <x:v>C03-E090</x:v>
      </x:c>
      <x:c r="B232" s="38" t="str">
        <x:v>C03</x:v>
      </x:c>
      <x:c r="C232" s="38" t="str">
        <x:v>C03-R032</x:v>
      </x:c>
      <x:c r="D232" s="38" t="str">
        <x:v>C03-R147</x:v>
      </x:c>
      <x:c r="E232" s="55" t="n">
        <x:v>68.3</x:v>
      </x:c>
      <x:c r="F232" s="38" t="str">
        <x:v>否</x:v>
      </x:c>
      <x:c r="G232" s="38" t="str">
        <x:v>是</x:v>
      </x:c>
      <x:c r="H232" s="49" t="n">
        <x:v>7.5</x:v>
      </x:c>
      <x:c r="I232" s="49" t="n">
        <x:v>0.3</x:v>
      </x:c>
      <x:c r="J232" s="49" t="str">
        <x:v>无（缘石高差，路侧停车待核）</x:v>
      </x:c>
      <x:c r="K232" s="49" t="n">
        <x:v>3.33</x:v>
      </x:c>
      <x:c r="L232" s="58" t="n">
        <x:f>IF(OR(E232="",K232="",K232=0),"n.a.",E232/K232)</x:f>
        <x:v>20.51051051051051</x:v>
      </x:c>
      <x:c r="M232" s="38" t="str">
        <x:v>00:00—24:00</x:v>
      </x:c>
      <x:c r="N232" s="59" t="n">
        <x:v>0.3</x:v>
      </x:c>
      <x:c r="O232" s="38" t="str">
        <x:v>OSM</x:v>
      </x:c>
      <x:c r="P232" s="38" t="str">
        <x:v>原始社区数据表</x:v>
      </x:c>
      <x:c r="Q232" s="2"/>
      <x:c r="R232" s="2"/>
      <x:c r="S232" s="2"/>
      <x:c r="T232" s="2"/>
      <x:c r="U232" s="2"/>
      <x:c r="V232" s="2"/>
    </x:row>
    <x:row r="233" ht="34" customHeight="1">
      <x:c r="A233" s="38" t="str">
        <x:v>C03-E091</x:v>
      </x:c>
      <x:c r="B233" s="38" t="str">
        <x:v>C03</x:v>
      </x:c>
      <x:c r="C233" s="38" t="str">
        <x:v>C03-R147</x:v>
      </x:c>
      <x:c r="D233" s="38" t="str">
        <x:v>C03-R019</x:v>
      </x:c>
      <x:c r="E233" s="55" t="n">
        <x:v>22.5</x:v>
      </x:c>
      <x:c r="F233" s="38" t="str">
        <x:v>否</x:v>
      </x:c>
      <x:c r="G233" s="38" t="str">
        <x:v>是</x:v>
      </x:c>
      <x:c r="H233" s="49" t="n">
        <x:v>7.5</x:v>
      </x:c>
      <x:c r="I233" s="49" t="n">
        <x:v>0.3</x:v>
      </x:c>
      <x:c r="J233" s="49" t="str">
        <x:v>无（缘石高差，路侧停车待核）</x:v>
      </x:c>
      <x:c r="K233" s="49" t="n">
        <x:v>3.33</x:v>
      </x:c>
      <x:c r="L233" s="58" t="n">
        <x:f>IF(OR(E233="",K233="",K233=0),"n.a.",E233/K233)</x:f>
        <x:v>6.756756756756757</x:v>
      </x:c>
      <x:c r="M233" s="38" t="str">
        <x:v>00:00—24:00</x:v>
      </x:c>
      <x:c r="N233" s="59" t="n">
        <x:v>0.3</x:v>
      </x:c>
      <x:c r="O233" s="38" t="str">
        <x:v>OSM</x:v>
      </x:c>
      <x:c r="P233" s="38" t="str">
        <x:v>原始社区数据表</x:v>
      </x:c>
      <x:c r="Q233" s="2"/>
      <x:c r="R233" s="2"/>
      <x:c r="S233" s="2"/>
      <x:c r="T233" s="2"/>
      <x:c r="U233" s="2"/>
      <x:c r="V233" s="2"/>
    </x:row>
    <x:row r="234" ht="34" customHeight="1">
      <x:c r="A234" s="38" t="str">
        <x:v>C03-E092</x:v>
      </x:c>
      <x:c r="B234" s="38" t="str">
        <x:v>C03</x:v>
      </x:c>
      <x:c r="C234" s="38" t="str">
        <x:v>C03-R148</x:v>
      </x:c>
      <x:c r="D234" s="38" t="str">
        <x:v>C03-R149</x:v>
      </x:c>
      <x:c r="E234" s="55" t="n">
        <x:v>59.9</x:v>
      </x:c>
      <x:c r="F234" s="38" t="str">
        <x:v>否</x:v>
      </x:c>
      <x:c r="G234" s="38" t="str">
        <x:v>是</x:v>
      </x:c>
      <x:c r="H234" s="49" t="n">
        <x:v>7.5</x:v>
      </x:c>
      <x:c r="I234" s="49" t="n">
        <x:v>0.3</x:v>
      </x:c>
      <x:c r="J234" s="49" t="str">
        <x:v>无（缘石高差，路侧停车待核）</x:v>
      </x:c>
      <x:c r="K234" s="49" t="n">
        <x:v>3.33</x:v>
      </x:c>
      <x:c r="L234" s="58" t="n">
        <x:f>IF(OR(E234="",K234="",K234=0),"n.a.",E234/K234)</x:f>
        <x:v>17.98798798798799</x:v>
      </x:c>
      <x:c r="M234" s="38" t="str">
        <x:v>00:00—24:00</x:v>
      </x:c>
      <x:c r="N234" s="59" t="n">
        <x:v>0.3</x:v>
      </x:c>
      <x:c r="O234" s="38" t="str">
        <x:v>OSM</x:v>
      </x:c>
      <x:c r="P234" s="38" t="str">
        <x:v>原始社区数据表</x:v>
      </x:c>
      <x:c r="Q234" s="2"/>
      <x:c r="R234" s="2"/>
      <x:c r="S234" s="2"/>
      <x:c r="T234" s="2"/>
      <x:c r="U234" s="2"/>
      <x:c r="V234" s="2"/>
    </x:row>
    <x:row r="235" ht="34" customHeight="1">
      <x:c r="A235" s="38" t="str">
        <x:v>C03-E093</x:v>
      </x:c>
      <x:c r="B235" s="38" t="str">
        <x:v>C03</x:v>
      </x:c>
      <x:c r="C235" s="38" t="str">
        <x:v>C03-R149</x:v>
      </x:c>
      <x:c r="D235" s="38" t="str">
        <x:v>C03-R026</x:v>
      </x:c>
      <x:c r="E235" s="55" t="n">
        <x:v>21.9</x:v>
      </x:c>
      <x:c r="F235" s="38" t="str">
        <x:v>否</x:v>
      </x:c>
      <x:c r="G235" s="38" t="str">
        <x:v>是</x:v>
      </x:c>
      <x:c r="H235" s="49" t="n">
        <x:v>7.5</x:v>
      </x:c>
      <x:c r="I235" s="49" t="n">
        <x:v>0.3</x:v>
      </x:c>
      <x:c r="J235" s="49" t="str">
        <x:v>无（缘石高差，路侧停车待核）</x:v>
      </x:c>
      <x:c r="K235" s="49" t="n">
        <x:v>3.33</x:v>
      </x:c>
      <x:c r="L235" s="58" t="n">
        <x:f>IF(OR(E235="",K235="",K235=0),"n.a.",E235/K235)</x:f>
        <x:v>6.576576576576576</x:v>
      </x:c>
      <x:c r="M235" s="38" t="str">
        <x:v>00:00—24:00</x:v>
      </x:c>
      <x:c r="N235" s="59" t="n">
        <x:v>0.3</x:v>
      </x:c>
      <x:c r="O235" s="38" t="str">
        <x:v>OSM</x:v>
      </x:c>
      <x:c r="P235" s="38" t="str">
        <x:v>原始社区数据表</x:v>
      </x:c>
      <x:c r="Q235" s="2"/>
      <x:c r="R235" s="2"/>
      <x:c r="S235" s="2"/>
      <x:c r="T235" s="2"/>
      <x:c r="U235" s="2"/>
      <x:c r="V235" s="2"/>
    </x:row>
    <x:row r="236" ht="34" customHeight="1">
      <x:c r="A236" s="38" t="str">
        <x:v>C03-E094</x:v>
      </x:c>
      <x:c r="B236" s="38" t="str">
        <x:v>C03</x:v>
      </x:c>
      <x:c r="C236" s="38" t="str">
        <x:v>C03-R032</x:v>
      </x:c>
      <x:c r="D236" s="38" t="str">
        <x:v>C03-R034</x:v>
      </x:c>
      <x:c r="E236" s="55" t="n">
        <x:v>6.3</x:v>
      </x:c>
      <x:c r="F236" s="38" t="str">
        <x:v>否</x:v>
      </x:c>
      <x:c r="G236" s="38" t="str">
        <x:v>是</x:v>
      </x:c>
      <x:c r="H236" s="49" t="n">
        <x:v>7.5</x:v>
      </x:c>
      <x:c r="I236" s="49" t="n">
        <x:v>0.3</x:v>
      </x:c>
      <x:c r="J236" s="49" t="str">
        <x:v>无（缘石高差，路侧停车待核）</x:v>
      </x:c>
      <x:c r="K236" s="49" t="n">
        <x:v>3.33</x:v>
      </x:c>
      <x:c r="L236" s="58" t="n">
        <x:f>IF(OR(E236="",K236="",K236=0),"n.a.",E236/K236)</x:f>
        <x:v>1.8918918918918919</x:v>
      </x:c>
      <x:c r="M236" s="38" t="str">
        <x:v>00:00—24:00</x:v>
      </x:c>
      <x:c r="N236" s="59" t="n">
        <x:v>0.3</x:v>
      </x:c>
      <x:c r="O236" s="38" t="str">
        <x:v>OSM</x:v>
      </x:c>
      <x:c r="P236" s="38" t="str">
        <x:v>原始社区数据表</x:v>
      </x:c>
      <x:c r="Q236" s="2"/>
      <x:c r="R236" s="2"/>
      <x:c r="S236" s="2"/>
      <x:c r="T236" s="2"/>
      <x:c r="U236" s="2"/>
      <x:c r="V236" s="2"/>
    </x:row>
    <x:row r="237" ht="34" customHeight="1">
      <x:c r="A237" s="38" t="str">
        <x:v>C03-E095</x:v>
      </x:c>
      <x:c r="B237" s="38" t="str">
        <x:v>C03</x:v>
      </x:c>
      <x:c r="C237" s="38" t="str">
        <x:v>C03-R034</x:v>
      </x:c>
      <x:c r="D237" s="38" t="str">
        <x:v>C03-R150</x:v>
      </x:c>
      <x:c r="E237" s="55" t="n">
        <x:v>106.9</x:v>
      </x:c>
      <x:c r="F237" s="38" t="str">
        <x:v>否</x:v>
      </x:c>
      <x:c r="G237" s="38" t="str">
        <x:v>是</x:v>
      </x:c>
      <x:c r="H237" s="49" t="n">
        <x:v>7.5</x:v>
      </x:c>
      <x:c r="I237" s="49" t="n">
        <x:v>0.3</x:v>
      </x:c>
      <x:c r="J237" s="49" t="str">
        <x:v>无（缘石高差，路侧停车待核）</x:v>
      </x:c>
      <x:c r="K237" s="49" t="n">
        <x:v>3.33</x:v>
      </x:c>
      <x:c r="L237" s="58" t="n">
        <x:f>IF(OR(E237="",K237="",K237=0),"n.a.",E237/K237)</x:f>
        <x:v>32.1021021021021</x:v>
      </x:c>
      <x:c r="M237" s="38" t="str">
        <x:v>00:00—24:00</x:v>
      </x:c>
      <x:c r="N237" s="59" t="n">
        <x:v>0.3</x:v>
      </x:c>
      <x:c r="O237" s="38" t="str">
        <x:v>OSM</x:v>
      </x:c>
      <x:c r="P237" s="38" t="str">
        <x:v>原始社区数据表</x:v>
      </x:c>
      <x:c r="Q237" s="2"/>
      <x:c r="R237" s="2"/>
      <x:c r="S237" s="2"/>
      <x:c r="T237" s="2"/>
      <x:c r="U237" s="2"/>
      <x:c r="V237" s="2"/>
    </x:row>
    <x:row r="238" ht="34" customHeight="1">
      <x:c r="A238" s="38" t="str">
        <x:v>C03-E096</x:v>
      </x:c>
      <x:c r="B238" s="38" t="str">
        <x:v>C03</x:v>
      </x:c>
      <x:c r="C238" s="38" t="str">
        <x:v>C03-R150</x:v>
      </x:c>
      <x:c r="D238" s="38" t="str">
        <x:v>C03-R151</x:v>
      </x:c>
      <x:c r="E238" s="55" t="n">
        <x:v>9.1</x:v>
      </x:c>
      <x:c r="F238" s="38" t="str">
        <x:v>否</x:v>
      </x:c>
      <x:c r="G238" s="38" t="str">
        <x:v>是</x:v>
      </x:c>
      <x:c r="H238" s="49" t="n">
        <x:v>7.5</x:v>
      </x:c>
      <x:c r="I238" s="49" t="n">
        <x:v>0.3</x:v>
      </x:c>
      <x:c r="J238" s="49" t="str">
        <x:v>无（缘石高差，路侧停车待核）</x:v>
      </x:c>
      <x:c r="K238" s="49" t="n">
        <x:v>3.33</x:v>
      </x:c>
      <x:c r="L238" s="58" t="n">
        <x:f>IF(OR(E238="",K238="",K238=0),"n.a.",E238/K238)</x:f>
        <x:v>2.7327327327327327</x:v>
      </x:c>
      <x:c r="M238" s="38" t="str">
        <x:v>00:00—24:00</x:v>
      </x:c>
      <x:c r="N238" s="59" t="n">
        <x:v>0.3</x:v>
      </x:c>
      <x:c r="O238" s="38" t="str">
        <x:v>OSM</x:v>
      </x:c>
      <x:c r="P238" s="38" t="str">
        <x:v>原始社区数据表</x:v>
      </x:c>
      <x:c r="Q238" s="2"/>
      <x:c r="R238" s="2"/>
      <x:c r="S238" s="2"/>
      <x:c r="T238" s="2"/>
      <x:c r="U238" s="2"/>
      <x:c r="V238" s="2"/>
    </x:row>
    <x:row r="239" ht="34" customHeight="1">
      <x:c r="A239" s="38" t="str">
        <x:v>C03-E097</x:v>
      </x:c>
      <x:c r="B239" s="38" t="str">
        <x:v>C03</x:v>
      </x:c>
      <x:c r="C239" s="38" t="str">
        <x:v>C03-R151</x:v>
      </x:c>
      <x:c r="D239" s="38" t="str">
        <x:v>C03-R069</x:v>
      </x:c>
      <x:c r="E239" s="55" t="n">
        <x:v>38.3</x:v>
      </x:c>
      <x:c r="F239" s="38" t="str">
        <x:v>否</x:v>
      </x:c>
      <x:c r="G239" s="38" t="str">
        <x:v>是</x:v>
      </x:c>
      <x:c r="H239" s="49" t="n">
        <x:v>7.5</x:v>
      </x:c>
      <x:c r="I239" s="49" t="n">
        <x:v>0.3</x:v>
      </x:c>
      <x:c r="J239" s="49" t="str">
        <x:v>无（缘石高差，路侧停车待核）</x:v>
      </x:c>
      <x:c r="K239" s="49" t="n">
        <x:v>3.33</x:v>
      </x:c>
      <x:c r="L239" s="58" t="n">
        <x:f>IF(OR(E239="",K239="",K239=0),"n.a.",E239/K239)</x:f>
        <x:v>11.501501501501501</x:v>
      </x:c>
      <x:c r="M239" s="38" t="str">
        <x:v>00:00—24:00</x:v>
      </x:c>
      <x:c r="N239" s="59" t="n">
        <x:v>0.3</x:v>
      </x:c>
      <x:c r="O239" s="38" t="str">
        <x:v>OSM</x:v>
      </x:c>
      <x:c r="P239" s="38" t="str">
        <x:v>原始社区数据表</x:v>
      </x:c>
      <x:c r="Q239" s="2"/>
      <x:c r="R239" s="2"/>
      <x:c r="S239" s="2"/>
      <x:c r="T239" s="2"/>
      <x:c r="U239" s="2"/>
      <x:c r="V239" s="2"/>
    </x:row>
    <x:row r="240" ht="34" customHeight="1">
      <x:c r="A240" s="38" t="str">
        <x:v>C03-E098</x:v>
      </x:c>
      <x:c r="B240" s="38" t="str">
        <x:v>C03</x:v>
      </x:c>
      <x:c r="C240" s="38" t="str">
        <x:v>C03-R069</x:v>
      </x:c>
      <x:c r="D240" s="38" t="str">
        <x:v>C03-R152</x:v>
      </x:c>
      <x:c r="E240" s="55" t="n">
        <x:v>38.2</x:v>
      </x:c>
      <x:c r="F240" s="38" t="str">
        <x:v>否</x:v>
      </x:c>
      <x:c r="G240" s="38" t="str">
        <x:v>是</x:v>
      </x:c>
      <x:c r="H240" s="49" t="n">
        <x:v>7.5</x:v>
      </x:c>
      <x:c r="I240" s="49" t="n">
        <x:v>0.3</x:v>
      </x:c>
      <x:c r="J240" s="49" t="str">
        <x:v>无（缘石高差，路侧停车待核）</x:v>
      </x:c>
      <x:c r="K240" s="49" t="n">
        <x:v>3.33</x:v>
      </x:c>
      <x:c r="L240" s="58" t="n">
        <x:f>IF(OR(E240="",K240="",K240=0),"n.a.",E240/K240)</x:f>
        <x:v>11.471471471471473</x:v>
      </x:c>
      <x:c r="M240" s="38" t="str">
        <x:v>00:00—24:00</x:v>
      </x:c>
      <x:c r="N240" s="59" t="n">
        <x:v>0.3</x:v>
      </x:c>
      <x:c r="O240" s="38" t="str">
        <x:v>OSM</x:v>
      </x:c>
      <x:c r="P240" s="38" t="str">
        <x:v>原始社区数据表</x:v>
      </x:c>
      <x:c r="Q240" s="2"/>
      <x:c r="R240" s="2"/>
      <x:c r="S240" s="2"/>
      <x:c r="T240" s="2"/>
      <x:c r="U240" s="2"/>
      <x:c r="V240" s="2"/>
    </x:row>
    <x:row r="241" ht="34" customHeight="1">
      <x:c r="A241" s="38" t="str">
        <x:v>C03-E099</x:v>
      </x:c>
      <x:c r="B241" s="38" t="str">
        <x:v>C03</x:v>
      </x:c>
      <x:c r="C241" s="38" t="str">
        <x:v>C03-R152</x:v>
      </x:c>
      <x:c r="D241" s="38" t="str">
        <x:v>C03-R067</x:v>
      </x:c>
      <x:c r="E241" s="55" t="n">
        <x:v>59.6</x:v>
      </x:c>
      <x:c r="F241" s="38" t="str">
        <x:v>否</x:v>
      </x:c>
      <x:c r="G241" s="38" t="str">
        <x:v>是</x:v>
      </x:c>
      <x:c r="H241" s="49" t="n">
        <x:v>7.5</x:v>
      </x:c>
      <x:c r="I241" s="49" t="n">
        <x:v>0.3</x:v>
      </x:c>
      <x:c r="J241" s="49" t="str">
        <x:v>无（缘石高差，路侧停车待核）</x:v>
      </x:c>
      <x:c r="K241" s="49" t="n">
        <x:v>3.33</x:v>
      </x:c>
      <x:c r="L241" s="58" t="n">
        <x:f>IF(OR(E241="",K241="",K241=0),"n.a.",E241/K241)</x:f>
        <x:v>17.8978978978979</x:v>
      </x:c>
      <x:c r="M241" s="38" t="str">
        <x:v>00:00—24:00</x:v>
      </x:c>
      <x:c r="N241" s="59" t="n">
        <x:v>0.3</x:v>
      </x:c>
      <x:c r="O241" s="38" t="str">
        <x:v>OSM</x:v>
      </x:c>
      <x:c r="P241" s="38" t="str">
        <x:v>原始社区数据表</x:v>
      </x:c>
      <x:c r="Q241" s="2"/>
      <x:c r="R241" s="2"/>
      <x:c r="S241" s="2"/>
      <x:c r="T241" s="2"/>
      <x:c r="U241" s="2"/>
      <x:c r="V241" s="2"/>
    </x:row>
    <x:row r="242" ht="34" customHeight="1">
      <x:c r="A242" s="38" t="str">
        <x:v>C03-E100</x:v>
      </x:c>
      <x:c r="B242" s="38" t="str">
        <x:v>C03</x:v>
      </x:c>
      <x:c r="C242" s="38" t="str">
        <x:v>C03-R067</x:v>
      </x:c>
      <x:c r="D242" s="38" t="str">
        <x:v>C03-R093</x:v>
      </x:c>
      <x:c r="E242" s="55" t="n">
        <x:v>128.2</x:v>
      </x:c>
      <x:c r="F242" s="38" t="str">
        <x:v>否</x:v>
      </x:c>
      <x:c r="G242" s="38" t="str">
        <x:v>是</x:v>
      </x:c>
      <x:c r="H242" s="49" t="n">
        <x:v>7.5</x:v>
      </x:c>
      <x:c r="I242" s="49" t="n">
        <x:v>0.3</x:v>
      </x:c>
      <x:c r="J242" s="49" t="str">
        <x:v>无（缘石高差，路侧停车待核）</x:v>
      </x:c>
      <x:c r="K242" s="49" t="n">
        <x:v>3.33</x:v>
      </x:c>
      <x:c r="L242" s="58" t="n">
        <x:f>IF(OR(E242="",K242="",K242=0),"n.a.",E242/K242)</x:f>
        <x:v>38.49849849849849</x:v>
      </x:c>
      <x:c r="M242" s="38" t="str">
        <x:v>00:00—24:00</x:v>
      </x:c>
      <x:c r="N242" s="59" t="n">
        <x:v>0.3</x:v>
      </x:c>
      <x:c r="O242" s="38" t="str">
        <x:v>OSM</x:v>
      </x:c>
      <x:c r="P242" s="38" t="str">
        <x:v>原始社区数据表</x:v>
      </x:c>
      <x:c r="Q242" s="2"/>
      <x:c r="R242" s="2"/>
      <x:c r="S242" s="2"/>
      <x:c r="T242" s="2"/>
      <x:c r="U242" s="2"/>
      <x:c r="V242" s="2"/>
    </x:row>
    <x:row r="243" ht="34" customHeight="1">
      <x:c r="A243" s="38" t="str">
        <x:v>C03-E101</x:v>
      </x:c>
      <x:c r="B243" s="38" t="str">
        <x:v>C03</x:v>
      </x:c>
      <x:c r="C243" s="38" t="str">
        <x:v>C03-R093</x:v>
      </x:c>
      <x:c r="D243" s="38" t="str">
        <x:v>C03-R012</x:v>
      </x:c>
      <x:c r="E243" s="55" t="n">
        <x:v>15.4</x:v>
      </x:c>
      <x:c r="F243" s="38" t="str">
        <x:v>否</x:v>
      </x:c>
      <x:c r="G243" s="38" t="str">
        <x:v>是</x:v>
      </x:c>
      <x:c r="H243" s="49" t="n">
        <x:v>7.5</x:v>
      </x:c>
      <x:c r="I243" s="49" t="n">
        <x:v>0.3</x:v>
      </x:c>
      <x:c r="J243" s="49" t="str">
        <x:v>无（缘石高差，路侧停车待核）</x:v>
      </x:c>
      <x:c r="K243" s="49" t="n">
        <x:v>3.33</x:v>
      </x:c>
      <x:c r="L243" s="58" t="n">
        <x:f>IF(OR(E243="",K243="",K243=0),"n.a.",E243/K243)</x:f>
        <x:v>4.624624624624625</x:v>
      </x:c>
      <x:c r="M243" s="38" t="str">
        <x:v>00:00—24:00</x:v>
      </x:c>
      <x:c r="N243" s="59" t="n">
        <x:v>0.3</x:v>
      </x:c>
      <x:c r="O243" s="38" t="str">
        <x:v>OSM</x:v>
      </x:c>
      <x:c r="P243" s="38" t="str">
        <x:v>原始社区数据表</x:v>
      </x:c>
      <x:c r="Q243" s="2"/>
      <x:c r="R243" s="2"/>
      <x:c r="S243" s="2"/>
      <x:c r="T243" s="2"/>
      <x:c r="U243" s="2"/>
      <x:c r="V243" s="2"/>
    </x:row>
    <x:row r="244" ht="34" customHeight="1">
      <x:c r="A244" s="38" t="str">
        <x:v>C03-E102</x:v>
      </x:c>
      <x:c r="B244" s="38" t="str">
        <x:v>C03</x:v>
      </x:c>
      <x:c r="C244" s="38" t="str">
        <x:v>C03-R153</x:v>
      </x:c>
      <x:c r="D244" s="38" t="str">
        <x:v>C03-R154</x:v>
      </x:c>
      <x:c r="E244" s="55" t="n">
        <x:v>61.5</x:v>
      </x:c>
      <x:c r="F244" s="38" t="str">
        <x:v>否</x:v>
      </x:c>
      <x:c r="G244" s="38" t="str">
        <x:v>是</x:v>
      </x:c>
      <x:c r="H244" s="49" t="n">
        <x:v>7.5</x:v>
      </x:c>
      <x:c r="I244" s="49" t="n">
        <x:v>0.3</x:v>
      </x:c>
      <x:c r="J244" s="49" t="str">
        <x:v>无（缘石高差，路侧停车待核）</x:v>
      </x:c>
      <x:c r="K244" s="49" t="n">
        <x:v>3.33</x:v>
      </x:c>
      <x:c r="L244" s="58" t="n">
        <x:f>IF(OR(E244="",K244="",K244=0),"n.a.",E244/K244)</x:f>
        <x:v>18.46846846846847</x:v>
      </x:c>
      <x:c r="M244" s="38" t="str">
        <x:v>00:00—24:00</x:v>
      </x:c>
      <x:c r="N244" s="59" t="n">
        <x:v>0.3</x:v>
      </x:c>
      <x:c r="O244" s="38" t="str">
        <x:v>OSM</x:v>
      </x:c>
      <x:c r="P244" s="38" t="str">
        <x:v>原始社区数据表</x:v>
      </x:c>
      <x:c r="Q244" s="2"/>
      <x:c r="R244" s="2"/>
      <x:c r="S244" s="2"/>
      <x:c r="T244" s="2"/>
      <x:c r="U244" s="2"/>
      <x:c r="V244" s="2"/>
    </x:row>
    <x:row r="245" ht="34" customHeight="1">
      <x:c r="A245" s="38" t="str">
        <x:v>C03-E103</x:v>
      </x:c>
      <x:c r="B245" s="38" t="str">
        <x:v>C03</x:v>
      </x:c>
      <x:c r="C245" s="38" t="str">
        <x:v>C03-R154</x:v>
      </x:c>
      <x:c r="D245" s="38" t="str">
        <x:v>C03-R155</x:v>
      </x:c>
      <x:c r="E245" s="55" t="n">
        <x:v>14.8</x:v>
      </x:c>
      <x:c r="F245" s="38" t="str">
        <x:v>否</x:v>
      </x:c>
      <x:c r="G245" s="38" t="str">
        <x:v>是</x:v>
      </x:c>
      <x:c r="H245" s="49" t="n">
        <x:v>7.5</x:v>
      </x:c>
      <x:c r="I245" s="49" t="n">
        <x:v>0.3</x:v>
      </x:c>
      <x:c r="J245" s="49" t="str">
        <x:v>无（缘石高差，路侧停车待核）</x:v>
      </x:c>
      <x:c r="K245" s="49" t="n">
        <x:v>3.33</x:v>
      </x:c>
      <x:c r="L245" s="58" t="n">
        <x:f>IF(OR(E245="",K245="",K245=0),"n.a.",E245/K245)</x:f>
        <x:v>4.444444444444445</x:v>
      </x:c>
      <x:c r="M245" s="38" t="str">
        <x:v>00:00—24:00</x:v>
      </x:c>
      <x:c r="N245" s="59" t="n">
        <x:v>0.3</x:v>
      </x:c>
      <x:c r="O245" s="38" t="str">
        <x:v>OSM</x:v>
      </x:c>
      <x:c r="P245" s="38" t="str">
        <x:v>原始社区数据表</x:v>
      </x:c>
      <x:c r="Q245" s="2"/>
      <x:c r="R245" s="2"/>
      <x:c r="S245" s="2"/>
      <x:c r="T245" s="2"/>
      <x:c r="U245" s="2"/>
      <x:c r="V245" s="2"/>
    </x:row>
    <x:row r="246" ht="34" customHeight="1">
      <x:c r="A246" s="38" t="str">
        <x:v>C03-E104</x:v>
      </x:c>
      <x:c r="B246" s="38" t="str">
        <x:v>C03</x:v>
      </x:c>
      <x:c r="C246" s="38" t="str">
        <x:v>C03-R155</x:v>
      </x:c>
      <x:c r="D246" s="38" t="str">
        <x:v>C03-R156</x:v>
      </x:c>
      <x:c r="E246" s="55" t="n">
        <x:v>74.3</x:v>
      </x:c>
      <x:c r="F246" s="38" t="str">
        <x:v>否</x:v>
      </x:c>
      <x:c r="G246" s="38" t="str">
        <x:v>是</x:v>
      </x:c>
      <x:c r="H246" s="49" t="n">
        <x:v>7.5</x:v>
      </x:c>
      <x:c r="I246" s="49" t="n">
        <x:v>0.3</x:v>
      </x:c>
      <x:c r="J246" s="49" t="str">
        <x:v>无（缘石高差，路侧停车待核）</x:v>
      </x:c>
      <x:c r="K246" s="49" t="n">
        <x:v>3.33</x:v>
      </x:c>
      <x:c r="L246" s="58" t="n">
        <x:f>IF(OR(E246="",K246="",K246=0),"n.a.",E246/K246)</x:f>
        <x:v>22.31231231231231</x:v>
      </x:c>
      <x:c r="M246" s="38" t="str">
        <x:v>00:00—24:00</x:v>
      </x:c>
      <x:c r="N246" s="59" t="n">
        <x:v>0.3</x:v>
      </x:c>
      <x:c r="O246" s="38" t="str">
        <x:v>OSM</x:v>
      </x:c>
      <x:c r="P246" s="38" t="str">
        <x:v>原始社区数据表</x:v>
      </x:c>
      <x:c r="Q246" s="2"/>
      <x:c r="R246" s="2"/>
      <x:c r="S246" s="2"/>
      <x:c r="T246" s="2"/>
      <x:c r="U246" s="2"/>
      <x:c r="V246" s="2"/>
    </x:row>
    <x:row r="247" ht="34" customHeight="1">
      <x:c r="A247" s="38" t="str">
        <x:v>C03-E105</x:v>
      </x:c>
      <x:c r="B247" s="38" t="str">
        <x:v>C03</x:v>
      </x:c>
      <x:c r="C247" s="38" t="str">
        <x:v>C03-R156</x:v>
      </x:c>
      <x:c r="D247" s="38" t="str">
        <x:v>C03-R157</x:v>
      </x:c>
      <x:c r="E247" s="55" t="n">
        <x:v>14</x:v>
      </x:c>
      <x:c r="F247" s="38" t="str">
        <x:v>否</x:v>
      </x:c>
      <x:c r="G247" s="38" t="str">
        <x:v>是</x:v>
      </x:c>
      <x:c r="H247" s="49" t="n">
        <x:v>7.5</x:v>
      </x:c>
      <x:c r="I247" s="49" t="n">
        <x:v>0.3</x:v>
      </x:c>
      <x:c r="J247" s="49" t="str">
        <x:v>无（缘石高差，路侧停车待核）</x:v>
      </x:c>
      <x:c r="K247" s="49" t="n">
        <x:v>3.33</x:v>
      </x:c>
      <x:c r="L247" s="58" t="n">
        <x:f>IF(OR(E247="",K247="",K247=0),"n.a.",E247/K247)</x:f>
        <x:v>4.2042042042042045</x:v>
      </x:c>
      <x:c r="M247" s="38" t="str">
        <x:v>00:00—24:00</x:v>
      </x:c>
      <x:c r="N247" s="59" t="n">
        <x:v>0.3</x:v>
      </x:c>
      <x:c r="O247" s="38" t="str">
        <x:v>OSM</x:v>
      </x:c>
      <x:c r="P247" s="38" t="str">
        <x:v>原始社区数据表</x:v>
      </x:c>
      <x:c r="Q247" s="2"/>
      <x:c r="R247" s="2"/>
      <x:c r="S247" s="2"/>
      <x:c r="T247" s="2"/>
      <x:c r="U247" s="2"/>
      <x:c r="V247" s="2"/>
    </x:row>
    <x:row r="248" ht="34" customHeight="1">
      <x:c r="A248" s="38" t="str">
        <x:v>C03-E106</x:v>
      </x:c>
      <x:c r="B248" s="38" t="str">
        <x:v>C03</x:v>
      </x:c>
      <x:c r="C248" s="38" t="str">
        <x:v>C03-R159</x:v>
      </x:c>
      <x:c r="D248" s="38" t="str">
        <x:v>C03-R160</x:v>
      </x:c>
      <x:c r="E248" s="55" t="n">
        <x:v>244.8</x:v>
      </x:c>
      <x:c r="F248" s="38" t="str">
        <x:v>是</x:v>
      </x:c>
      <x:c r="G248" s="38" t="str">
        <x:v>是</x:v>
      </x:c>
      <x:c r="H248" s="49" t="n">
        <x:v>6</x:v>
      </x:c>
      <x:c r="I248" s="49" t="n">
        <x:v>0.3</x:v>
      </x:c>
      <x:c r="J248" s="49" t="str">
        <x:v>无（缘石高差，路侧停车待核）</x:v>
      </x:c>
      <x:c r="K248" s="49" t="n">
        <x:v>2.78</x:v>
      </x:c>
      <x:c r="L248" s="58" t="n">
        <x:f>IF(OR(E248="",K248="",K248=0),"n.a.",E248/K248)</x:f>
        <x:v>88.05755395683454</x:v>
      </x:c>
      <x:c r="M248" s="38" t="str">
        <x:v>00:00—24:00</x:v>
      </x:c>
      <x:c r="N248" s="59" t="n">
        <x:v>0.3</x:v>
      </x:c>
      <x:c r="O248" s="38" t="str">
        <x:v>OSM</x:v>
      </x:c>
      <x:c r="P248" s="38" t="str">
        <x:v>原始社区数据表</x:v>
      </x:c>
      <x:c r="Q248" s="2"/>
      <x:c r="R248" s="2"/>
      <x:c r="S248" s="2"/>
      <x:c r="T248" s="2"/>
      <x:c r="U248" s="2"/>
      <x:c r="V248" s="2"/>
    </x:row>
    <x:row r="249" ht="34" customHeight="1">
      <x:c r="A249" s="38" t="str">
        <x:v>C03-E107</x:v>
      </x:c>
      <x:c r="B249" s="38" t="str">
        <x:v>C03</x:v>
      </x:c>
      <x:c r="C249" s="38" t="str">
        <x:v>C03-R160</x:v>
      </x:c>
      <x:c r="D249" s="38" t="str">
        <x:v>C03-R161</x:v>
      </x:c>
      <x:c r="E249" s="55" t="n">
        <x:v>180.2</x:v>
      </x:c>
      <x:c r="F249" s="38" t="str">
        <x:v>是</x:v>
      </x:c>
      <x:c r="G249" s="38" t="str">
        <x:v>是</x:v>
      </x:c>
      <x:c r="H249" s="49" t="n">
        <x:v>6</x:v>
      </x:c>
      <x:c r="I249" s="49" t="n">
        <x:v>0.3</x:v>
      </x:c>
      <x:c r="J249" s="49" t="str">
        <x:v>无（缘石高差，路侧停车待核）</x:v>
      </x:c>
      <x:c r="K249" s="49" t="n">
        <x:v>2.78</x:v>
      </x:c>
      <x:c r="L249" s="58" t="n">
        <x:f>IF(OR(E249="",K249="",K249=0),"n.a.",E249/K249)</x:f>
        <x:v>64.82014388489209</x:v>
      </x:c>
      <x:c r="M249" s="38" t="str">
        <x:v>00:00—24:00</x:v>
      </x:c>
      <x:c r="N249" s="59" t="n">
        <x:v>0.3</x:v>
      </x:c>
      <x:c r="O249" s="38" t="str">
        <x:v>OSM</x:v>
      </x:c>
      <x:c r="P249" s="38" t="str">
        <x:v>原始社区数据表</x:v>
      </x:c>
      <x:c r="Q249" s="2"/>
      <x:c r="R249" s="2"/>
      <x:c r="S249" s="2"/>
      <x:c r="T249" s="2"/>
      <x:c r="U249" s="2"/>
      <x:c r="V249" s="2"/>
    </x:row>
    <x:row r="250" ht="34" customHeight="1">
      <x:c r="A250" s="38" t="str">
        <x:v>C03-E108</x:v>
      </x:c>
      <x:c r="B250" s="38" t="str">
        <x:v>C03</x:v>
      </x:c>
      <x:c r="C250" s="38" t="str">
        <x:v>C03-R085</x:v>
      </x:c>
      <x:c r="D250" s="38" t="str">
        <x:v>C03-R160</x:v>
      </x:c>
      <x:c r="E250" s="55" t="n">
        <x:v>209.4</x:v>
      </x:c>
      <x:c r="F250" s="38" t="str">
        <x:v>是</x:v>
      </x:c>
      <x:c r="G250" s="38" t="str">
        <x:v>是</x:v>
      </x:c>
      <x:c r="H250" s="49" t="n">
        <x:v>6</x:v>
      </x:c>
      <x:c r="I250" s="49" t="n">
        <x:v>0.3</x:v>
      </x:c>
      <x:c r="J250" s="49" t="str">
        <x:v>无（缘石高差，路侧停车待核）</x:v>
      </x:c>
      <x:c r="K250" s="49" t="n">
        <x:v>2.78</x:v>
      </x:c>
      <x:c r="L250" s="58" t="n">
        <x:f>IF(OR(E250="",K250="",K250=0),"n.a.",E250/K250)</x:f>
        <x:v>75.32374100719426</x:v>
      </x:c>
      <x:c r="M250" s="38" t="str">
        <x:v>00:00—24:00</x:v>
      </x:c>
      <x:c r="N250" s="59" t="n">
        <x:v>0.3</x:v>
      </x:c>
      <x:c r="O250" s="38" t="str">
        <x:v>OSM</x:v>
      </x:c>
      <x:c r="P250" s="38" t="str">
        <x:v>原始社区数据表</x:v>
      </x:c>
      <x:c r="Q250" s="2"/>
      <x:c r="R250" s="2"/>
      <x:c r="S250" s="2"/>
      <x:c r="T250" s="2"/>
      <x:c r="U250" s="2"/>
      <x:c r="V250" s="2"/>
    </x:row>
    <x:row r="251" ht="34" customHeight="1">
      <x:c r="A251" s="38" t="str">
        <x:v>C03-E109</x:v>
      </x:c>
      <x:c r="B251" s="38" t="str">
        <x:v>C03</x:v>
      </x:c>
      <x:c r="C251" s="38" t="str">
        <x:v>C03-R154</x:v>
      </x:c>
      <x:c r="D251" s="38" t="str">
        <x:v>C03-R162</x:v>
      </x:c>
      <x:c r="E251" s="55" t="n">
        <x:v>65.9</x:v>
      </x:c>
      <x:c r="F251" s="38" t="str">
        <x:v>否</x:v>
      </x:c>
      <x:c r="G251" s="38" t="str">
        <x:v>是</x:v>
      </x:c>
      <x:c r="H251" s="49" t="n">
        <x:v>7.5</x:v>
      </x:c>
      <x:c r="I251" s="49" t="n">
        <x:v>0.3</x:v>
      </x:c>
      <x:c r="J251" s="49" t="str">
        <x:v>无（缘石高差，路侧停车待核）</x:v>
      </x:c>
      <x:c r="K251" s="49" t="n">
        <x:v>3.33</x:v>
      </x:c>
      <x:c r="L251" s="58" t="n">
        <x:f>IF(OR(E251="",K251="",K251=0),"n.a.",E251/K251)</x:f>
        <x:v>19.78978978978979</x:v>
      </x:c>
      <x:c r="M251" s="38" t="str">
        <x:v>00:00—24:00</x:v>
      </x:c>
      <x:c r="N251" s="59" t="n">
        <x:v>0.3</x:v>
      </x:c>
      <x:c r="O251" s="38" t="str">
        <x:v>OSM</x:v>
      </x:c>
      <x:c r="P251" s="38" t="str">
        <x:v>原始社区数据表</x:v>
      </x:c>
      <x:c r="Q251" s="2"/>
      <x:c r="R251" s="2"/>
      <x:c r="S251" s="2"/>
      <x:c r="T251" s="2"/>
      <x:c r="U251" s="2"/>
      <x:c r="V251" s="2"/>
    </x:row>
    <x:row r="252" ht="34" customHeight="1">
      <x:c r="A252" s="38" t="str">
        <x:v>C03-E110</x:v>
      </x:c>
      <x:c r="B252" s="38" t="str">
        <x:v>C03</x:v>
      </x:c>
      <x:c r="C252" s="38" t="str">
        <x:v>C03-R162</x:v>
      </x:c>
      <x:c r="D252" s="38" t="str">
        <x:v>C03-R092</x:v>
      </x:c>
      <x:c r="E252" s="55" t="n">
        <x:v>9.7</x:v>
      </x:c>
      <x:c r="F252" s="38" t="str">
        <x:v>否</x:v>
      </x:c>
      <x:c r="G252" s="38" t="str">
        <x:v>是</x:v>
      </x:c>
      <x:c r="H252" s="49" t="n">
        <x:v>7.5</x:v>
      </x:c>
      <x:c r="I252" s="49" t="n">
        <x:v>0.3</x:v>
      </x:c>
      <x:c r="J252" s="49" t="str">
        <x:v>无（缘石高差，路侧停车待核）</x:v>
      </x:c>
      <x:c r="K252" s="49" t="n">
        <x:v>3.33</x:v>
      </x:c>
      <x:c r="L252" s="58" t="n">
        <x:f>IF(OR(E252="",K252="",K252=0),"n.a.",E252/K252)</x:f>
        <x:v>2.9129129129129128</x:v>
      </x:c>
      <x:c r="M252" s="38" t="str">
        <x:v>00:00—24:00</x:v>
      </x:c>
      <x:c r="N252" s="59" t="n">
        <x:v>0.3</x:v>
      </x:c>
      <x:c r="O252" s="38" t="str">
        <x:v>OSM</x:v>
      </x:c>
      <x:c r="P252" s="38" t="str">
        <x:v>原始社区数据表</x:v>
      </x:c>
      <x:c r="Q252" s="2"/>
      <x:c r="R252" s="2"/>
      <x:c r="S252" s="2"/>
      <x:c r="T252" s="2"/>
      <x:c r="U252" s="2"/>
      <x:c r="V252" s="2"/>
    </x:row>
    <x:row r="253" ht="34" customHeight="1">
      <x:c r="A253" s="38" t="str">
        <x:v>C03-E111</x:v>
      </x:c>
      <x:c r="B253" s="38" t="str">
        <x:v>C03</x:v>
      </x:c>
      <x:c r="C253" s="38" t="str">
        <x:v>C03-R163</x:v>
      </x:c>
      <x:c r="D253" s="38" t="str">
        <x:v>C03-R164</x:v>
      </x:c>
      <x:c r="E253" s="55" t="n">
        <x:v>66.4</x:v>
      </x:c>
      <x:c r="F253" s="38" t="str">
        <x:v>是</x:v>
      </x:c>
      <x:c r="G253" s="38" t="str">
        <x:v>是</x:v>
      </x:c>
      <x:c r="H253" s="49" t="n">
        <x:v>4</x:v>
      </x:c>
      <x:c r="I253" s="49" t="n">
        <x:v>0.3</x:v>
      </x:c>
      <x:c r="J253" s="49" t="str">
        <x:v>无（缘石高差，路侧停车待核）</x:v>
      </x:c>
      <x:c r="K253" s="49" t="n">
        <x:v>2.78</x:v>
      </x:c>
      <x:c r="L253" s="58" t="n">
        <x:f>IF(OR(E253="",K253="",K253=0),"n.a.",E253/K253)</x:f>
        <x:v>23.88489208633094</x:v>
      </x:c>
      <x:c r="M253" s="38" t="str">
        <x:v>00:00—24:00</x:v>
      </x:c>
      <x:c r="N253" s="59" t="n">
        <x:v>0.3</x:v>
      </x:c>
      <x:c r="O253" s="38" t="str">
        <x:v>OSM</x:v>
      </x:c>
      <x:c r="P253" s="38" t="str">
        <x:v>原始社区数据表</x:v>
      </x:c>
      <x:c r="Q253" s="2"/>
      <x:c r="R253" s="2"/>
      <x:c r="S253" s="2"/>
      <x:c r="T253" s="2"/>
      <x:c r="U253" s="2"/>
      <x:c r="V253" s="2"/>
    </x:row>
    <x:row r="254" ht="34" customHeight="1">
      <x:c r="A254" s="38" t="str">
        <x:v>C03-E112</x:v>
      </x:c>
      <x:c r="B254" s="38" t="str">
        <x:v>C03</x:v>
      </x:c>
      <x:c r="C254" s="38" t="str">
        <x:v>C03-R164</x:v>
      </x:c>
      <x:c r="D254" s="38" t="str">
        <x:v>C03-R165</x:v>
      </x:c>
      <x:c r="E254" s="55" t="n">
        <x:v>62</x:v>
      </x:c>
      <x:c r="F254" s="38" t="str">
        <x:v>是</x:v>
      </x:c>
      <x:c r="G254" s="38" t="str">
        <x:v>是</x:v>
      </x:c>
      <x:c r="H254" s="49" t="n">
        <x:v>4</x:v>
      </x:c>
      <x:c r="I254" s="49" t="n">
        <x:v>0.3</x:v>
      </x:c>
      <x:c r="J254" s="49" t="str">
        <x:v>无（缘石高差，路侧停车待核）</x:v>
      </x:c>
      <x:c r="K254" s="49" t="n">
        <x:v>2.78</x:v>
      </x:c>
      <x:c r="L254" s="58" t="n">
        <x:f>IF(OR(E254="",K254="",K254=0),"n.a.",E254/K254)</x:f>
        <x:v>22.302158273381295</x:v>
      </x:c>
      <x:c r="M254" s="38" t="str">
        <x:v>00:00—24:00</x:v>
      </x:c>
      <x:c r="N254" s="59" t="n">
        <x:v>0.3</x:v>
      </x:c>
      <x:c r="O254" s="38" t="str">
        <x:v>OSM</x:v>
      </x:c>
      <x:c r="P254" s="38" t="str">
        <x:v>原始社区数据表</x:v>
      </x:c>
      <x:c r="Q254" s="2"/>
      <x:c r="R254" s="2"/>
      <x:c r="S254" s="2"/>
      <x:c r="T254" s="2"/>
      <x:c r="U254" s="2"/>
      <x:c r="V254" s="2"/>
    </x:row>
    <x:row r="255" ht="34" customHeight="1">
      <x:c r="A255" s="38" t="str">
        <x:v>C03-E113</x:v>
      </x:c>
      <x:c r="B255" s="38" t="str">
        <x:v>C03</x:v>
      </x:c>
      <x:c r="C255" s="38" t="str">
        <x:v>C03-R165</x:v>
      </x:c>
      <x:c r="D255" s="38" t="str">
        <x:v>C03-R166</x:v>
      </x:c>
      <x:c r="E255" s="55" t="n">
        <x:v>28.9</x:v>
      </x:c>
      <x:c r="F255" s="38" t="str">
        <x:v>是</x:v>
      </x:c>
      <x:c r="G255" s="38" t="str">
        <x:v>是</x:v>
      </x:c>
      <x:c r="H255" s="49" t="n">
        <x:v>4</x:v>
      </x:c>
      <x:c r="I255" s="49" t="n">
        <x:v>0.3</x:v>
      </x:c>
      <x:c r="J255" s="49" t="str">
        <x:v>无（缘石高差，路侧停车待核）</x:v>
      </x:c>
      <x:c r="K255" s="49" t="n">
        <x:v>2.78</x:v>
      </x:c>
      <x:c r="L255" s="58" t="n">
        <x:f>IF(OR(E255="",K255="",K255=0),"n.a.",E255/K255)</x:f>
        <x:v>10.39568345323741</x:v>
      </x:c>
      <x:c r="M255" s="38" t="str">
        <x:v>00:00—24:00</x:v>
      </x:c>
      <x:c r="N255" s="59" t="n">
        <x:v>0.3</x:v>
      </x:c>
      <x:c r="O255" s="38" t="str">
        <x:v>OSM</x:v>
      </x:c>
      <x:c r="P255" s="38" t="str">
        <x:v>原始社区数据表</x:v>
      </x:c>
      <x:c r="Q255" s="2"/>
      <x:c r="R255" s="2"/>
      <x:c r="S255" s="2"/>
      <x:c r="T255" s="2"/>
      <x:c r="U255" s="2"/>
      <x:c r="V255" s="2"/>
    </x:row>
    <x:row r="256" ht="34" customHeight="1">
      <x:c r="A256" s="38" t="str">
        <x:v>C03-E114</x:v>
      </x:c>
      <x:c r="B256" s="38" t="str">
        <x:v>C03</x:v>
      </x:c>
      <x:c r="C256" s="38" t="str">
        <x:v>C03-R166</x:v>
      </x:c>
      <x:c r="D256" s="38" t="str">
        <x:v>C03-R167</x:v>
      </x:c>
      <x:c r="E256" s="55" t="n">
        <x:v>62.2</x:v>
      </x:c>
      <x:c r="F256" s="38" t="str">
        <x:v>是</x:v>
      </x:c>
      <x:c r="G256" s="38" t="str">
        <x:v>是</x:v>
      </x:c>
      <x:c r="H256" s="49" t="n">
        <x:v>4</x:v>
      </x:c>
      <x:c r="I256" s="49" t="n">
        <x:v>0.3</x:v>
      </x:c>
      <x:c r="J256" s="49" t="str">
        <x:v>无（缘石高差，路侧停车待核）</x:v>
      </x:c>
      <x:c r="K256" s="49" t="n">
        <x:v>2.78</x:v>
      </x:c>
      <x:c r="L256" s="58" t="n">
        <x:f>IF(OR(E256="",K256="",K256=0),"n.a.",E256/K256)</x:f>
        <x:v>22.37410071942446</x:v>
      </x:c>
      <x:c r="M256" s="38" t="str">
        <x:v>00:00—24:00</x:v>
      </x:c>
      <x:c r="N256" s="59" t="n">
        <x:v>0.3</x:v>
      </x:c>
      <x:c r="O256" s="38" t="str">
        <x:v>OSM</x:v>
      </x:c>
      <x:c r="P256" s="38" t="str">
        <x:v>原始社区数据表</x:v>
      </x:c>
      <x:c r="Q256" s="2"/>
      <x:c r="R256" s="2"/>
      <x:c r="S256" s="2"/>
      <x:c r="T256" s="2"/>
      <x:c r="U256" s="2"/>
      <x:c r="V256" s="2"/>
    </x:row>
    <x:row r="257" ht="34" customHeight="1">
      <x:c r="A257" s="38" t="str">
        <x:v>C03-E115</x:v>
      </x:c>
      <x:c r="B257" s="38" t="str">
        <x:v>C03</x:v>
      </x:c>
      <x:c r="C257" s="38" t="str">
        <x:v>C03-R167</x:v>
      </x:c>
      <x:c r="D257" s="38" t="str">
        <x:v>C03-R168</x:v>
      </x:c>
      <x:c r="E257" s="55" t="n">
        <x:v>36.2</x:v>
      </x:c>
      <x:c r="F257" s="38" t="str">
        <x:v>是</x:v>
      </x:c>
      <x:c r="G257" s="38" t="str">
        <x:v>是</x:v>
      </x:c>
      <x:c r="H257" s="49" t="n">
        <x:v>4</x:v>
      </x:c>
      <x:c r="I257" s="49" t="n">
        <x:v>0.3</x:v>
      </x:c>
      <x:c r="J257" s="49" t="str">
        <x:v>无（缘石高差，路侧停车待核）</x:v>
      </x:c>
      <x:c r="K257" s="49" t="n">
        <x:v>2.78</x:v>
      </x:c>
      <x:c r="L257" s="58" t="n">
        <x:f>IF(OR(E257="",K257="",K257=0),"n.a.",E257/K257)</x:f>
        <x:v>13.021582733812952</x:v>
      </x:c>
      <x:c r="M257" s="38" t="str">
        <x:v>00:00—24:00</x:v>
      </x:c>
      <x:c r="N257" s="59" t="n">
        <x:v>0.3</x:v>
      </x:c>
      <x:c r="O257" s="38" t="str">
        <x:v>OSM</x:v>
      </x:c>
      <x:c r="P257" s="38" t="str">
        <x:v>原始社区数据表</x:v>
      </x:c>
      <x:c r="Q257" s="2"/>
      <x:c r="R257" s="2"/>
      <x:c r="S257" s="2"/>
      <x:c r="T257" s="2"/>
      <x:c r="U257" s="2"/>
      <x:c r="V257" s="2"/>
    </x:row>
    <x:row r="258" ht="34" customHeight="1">
      <x:c r="A258" s="38" t="str">
        <x:v>C03-E116</x:v>
      </x:c>
      <x:c r="B258" s="38" t="str">
        <x:v>C03</x:v>
      </x:c>
      <x:c r="C258" s="38" t="str">
        <x:v>C03-R168</x:v>
      </x:c>
      <x:c r="D258" s="38" t="str">
        <x:v>C03-R169</x:v>
      </x:c>
      <x:c r="E258" s="55" t="n">
        <x:v>53.6</x:v>
      </x:c>
      <x:c r="F258" s="38" t="str">
        <x:v>是</x:v>
      </x:c>
      <x:c r="G258" s="38" t="str">
        <x:v>是</x:v>
      </x:c>
      <x:c r="H258" s="49" t="n">
        <x:v>4</x:v>
      </x:c>
      <x:c r="I258" s="49" t="n">
        <x:v>0.3</x:v>
      </x:c>
      <x:c r="J258" s="49" t="str">
        <x:v>无（缘石高差，路侧停车待核）</x:v>
      </x:c>
      <x:c r="K258" s="49" t="n">
        <x:v>2.78</x:v>
      </x:c>
      <x:c r="L258" s="58" t="n">
        <x:f>IF(OR(E258="",K258="",K258=0),"n.a.",E258/K258)</x:f>
        <x:v>19.280575539568346</x:v>
      </x:c>
      <x:c r="M258" s="38" t="str">
        <x:v>00:00—24:00</x:v>
      </x:c>
      <x:c r="N258" s="59" t="n">
        <x:v>0.3</x:v>
      </x:c>
      <x:c r="O258" s="38" t="str">
        <x:v>OSM</x:v>
      </x:c>
      <x:c r="P258" s="38" t="str">
        <x:v>原始社区数据表</x:v>
      </x:c>
      <x:c r="Q258" s="2"/>
      <x:c r="R258" s="2"/>
      <x:c r="S258" s="2"/>
      <x:c r="T258" s="2"/>
      <x:c r="U258" s="2"/>
      <x:c r="V258" s="2"/>
    </x:row>
    <x:row r="259" ht="34" customHeight="1">
      <x:c r="A259" s="38" t="str">
        <x:v>C03-E117</x:v>
      </x:c>
      <x:c r="B259" s="38" t="str">
        <x:v>C03</x:v>
      </x:c>
      <x:c r="C259" s="38" t="str">
        <x:v>C03-R169</x:v>
      </x:c>
      <x:c r="D259" s="38" t="str">
        <x:v>C03-R170</x:v>
      </x:c>
      <x:c r="E259" s="55" t="n">
        <x:v>49.7</x:v>
      </x:c>
      <x:c r="F259" s="38" t="str">
        <x:v>是</x:v>
      </x:c>
      <x:c r="G259" s="38" t="str">
        <x:v>是</x:v>
      </x:c>
      <x:c r="H259" s="49" t="n">
        <x:v>4</x:v>
      </x:c>
      <x:c r="I259" s="49" t="n">
        <x:v>0.3</x:v>
      </x:c>
      <x:c r="J259" s="49" t="str">
        <x:v>无（缘石高差，路侧停车待核）</x:v>
      </x:c>
      <x:c r="K259" s="49" t="n">
        <x:v>2.78</x:v>
      </x:c>
      <x:c r="L259" s="58" t="n">
        <x:f>IF(OR(E259="",K259="",K259=0),"n.a.",E259/K259)</x:f>
        <x:v>17.877697841726622</x:v>
      </x:c>
      <x:c r="M259" s="38" t="str">
        <x:v>00:00—24:00</x:v>
      </x:c>
      <x:c r="N259" s="59" t="n">
        <x:v>0.3</x:v>
      </x:c>
      <x:c r="O259" s="38" t="str">
        <x:v>OSM</x:v>
      </x:c>
      <x:c r="P259" s="38" t="str">
        <x:v>原始社区数据表</x:v>
      </x:c>
      <x:c r="Q259" s="2"/>
      <x:c r="R259" s="2"/>
      <x:c r="S259" s="2"/>
      <x:c r="T259" s="2"/>
      <x:c r="U259" s="2"/>
      <x:c r="V259" s="2"/>
    </x:row>
    <x:row r="260" ht="34" customHeight="1">
      <x:c r="A260" s="38" t="str">
        <x:v>C03-E118</x:v>
      </x:c>
      <x:c r="B260" s="38" t="str">
        <x:v>C03</x:v>
      </x:c>
      <x:c r="C260" s="38" t="str">
        <x:v>C03-R170</x:v>
      </x:c>
      <x:c r="D260" s="38" t="str">
        <x:v>C03-R171</x:v>
      </x:c>
      <x:c r="E260" s="55" t="n">
        <x:v>11.4</x:v>
      </x:c>
      <x:c r="F260" s="38" t="str">
        <x:v>是</x:v>
      </x:c>
      <x:c r="G260" s="38" t="str">
        <x:v>是</x:v>
      </x:c>
      <x:c r="H260" s="49" t="n">
        <x:v>4</x:v>
      </x:c>
      <x:c r="I260" s="49" t="n">
        <x:v>0.3</x:v>
      </x:c>
      <x:c r="J260" s="49" t="str">
        <x:v>无（缘石高差，路侧停车待核）</x:v>
      </x:c>
      <x:c r="K260" s="49" t="n">
        <x:v>2.78</x:v>
      </x:c>
      <x:c r="L260" s="58" t="n">
        <x:f>IF(OR(E260="",K260="",K260=0),"n.a.",E260/K260)</x:f>
        <x:v>4.100719424460432</x:v>
      </x:c>
      <x:c r="M260" s="38" t="str">
        <x:v>00:00—24:00</x:v>
      </x:c>
      <x:c r="N260" s="59" t="n">
        <x:v>0.3</x:v>
      </x:c>
      <x:c r="O260" s="38" t="str">
        <x:v>OSM</x:v>
      </x:c>
      <x:c r="P260" s="38" t="str">
        <x:v>原始社区数据表</x:v>
      </x:c>
      <x:c r="Q260" s="2"/>
      <x:c r="R260" s="2"/>
      <x:c r="S260" s="2"/>
      <x:c r="T260" s="2"/>
      <x:c r="U260" s="2"/>
      <x:c r="V260" s="2"/>
    </x:row>
    <x:row r="261" ht="34" customHeight="1">
      <x:c r="A261" s="38" t="str">
        <x:v>C03-E119</x:v>
      </x:c>
      <x:c r="B261" s="38" t="str">
        <x:v>C03</x:v>
      </x:c>
      <x:c r="C261" s="38" t="str">
        <x:v>C03-R171</x:v>
      </x:c>
      <x:c r="D261" s="38" t="str">
        <x:v>C03-R172</x:v>
      </x:c>
      <x:c r="E261" s="55" t="n">
        <x:v>11.9</x:v>
      </x:c>
      <x:c r="F261" s="38" t="str">
        <x:v>是</x:v>
      </x:c>
      <x:c r="G261" s="38" t="str">
        <x:v>是</x:v>
      </x:c>
      <x:c r="H261" s="49" t="n">
        <x:v>4</x:v>
      </x:c>
      <x:c r="I261" s="49" t="n">
        <x:v>0.3</x:v>
      </x:c>
      <x:c r="J261" s="49" t="str">
        <x:v>无（缘石高差，路侧停车待核）</x:v>
      </x:c>
      <x:c r="K261" s="49" t="n">
        <x:v>2.78</x:v>
      </x:c>
      <x:c r="L261" s="58" t="n">
        <x:f>IF(OR(E261="",K261="",K261=0),"n.a.",E261/K261)</x:f>
        <x:v>4.280575539568345</x:v>
      </x:c>
      <x:c r="M261" s="38" t="str">
        <x:v>00:00—24:00</x:v>
      </x:c>
      <x:c r="N261" s="59" t="n">
        <x:v>0.3</x:v>
      </x:c>
      <x:c r="O261" s="38" t="str">
        <x:v>OSM</x:v>
      </x:c>
      <x:c r="P261" s="38" t="str">
        <x:v>原始社区数据表</x:v>
      </x:c>
      <x:c r="Q261" s="2"/>
      <x:c r="R261" s="2"/>
      <x:c r="S261" s="2"/>
      <x:c r="T261" s="2"/>
      <x:c r="U261" s="2"/>
      <x:c r="V261" s="2"/>
    </x:row>
    <x:row r="262" ht="34" customHeight="1">
      <x:c r="A262" s="38" t="str">
        <x:v>C03-E120</x:v>
      </x:c>
      <x:c r="B262" s="38" t="str">
        <x:v>C03</x:v>
      </x:c>
      <x:c r="C262" s="38" t="str">
        <x:v>C03-R172</x:v>
      </x:c>
      <x:c r="D262" s="38" t="str">
        <x:v>C03-R173</x:v>
      </x:c>
      <x:c r="E262" s="55" t="n">
        <x:v>22.7</x:v>
      </x:c>
      <x:c r="F262" s="38" t="str">
        <x:v>是</x:v>
      </x:c>
      <x:c r="G262" s="38" t="str">
        <x:v>是</x:v>
      </x:c>
      <x:c r="H262" s="49" t="n">
        <x:v>4</x:v>
      </x:c>
      <x:c r="I262" s="49" t="n">
        <x:v>0.3</x:v>
      </x:c>
      <x:c r="J262" s="49" t="str">
        <x:v>无（缘石高差，路侧停车待核）</x:v>
      </x:c>
      <x:c r="K262" s="49" t="n">
        <x:v>2.78</x:v>
      </x:c>
      <x:c r="L262" s="58" t="n">
        <x:f>IF(OR(E262="",K262="",K262=0),"n.a.",E262/K262)</x:f>
        <x:v>8.16546762589928</x:v>
      </x:c>
      <x:c r="M262" s="38" t="str">
        <x:v>00:00—24:00</x:v>
      </x:c>
      <x:c r="N262" s="59" t="n">
        <x:v>0.3</x:v>
      </x:c>
      <x:c r="O262" s="38" t="str">
        <x:v>OSM</x:v>
      </x:c>
      <x:c r="P262" s="38" t="str">
        <x:v>原始社区数据表</x:v>
      </x:c>
      <x:c r="Q262" s="2"/>
      <x:c r="R262" s="2"/>
      <x:c r="S262" s="2"/>
      <x:c r="T262" s="2"/>
      <x:c r="U262" s="2"/>
      <x:c r="V262" s="2"/>
    </x:row>
    <x:row r="263" ht="34" customHeight="1">
      <x:c r="A263" s="38" t="str">
        <x:v>C03-E121</x:v>
      </x:c>
      <x:c r="B263" s="38" t="str">
        <x:v>C03</x:v>
      </x:c>
      <x:c r="C263" s="38" t="str">
        <x:v>C03-R173</x:v>
      </x:c>
      <x:c r="D263" s="38" t="str">
        <x:v>C03-R174</x:v>
      </x:c>
      <x:c r="E263" s="55" t="n">
        <x:v>10.4</x:v>
      </x:c>
      <x:c r="F263" s="38" t="str">
        <x:v>是</x:v>
      </x:c>
      <x:c r="G263" s="38" t="str">
        <x:v>是</x:v>
      </x:c>
      <x:c r="H263" s="49" t="n">
        <x:v>4</x:v>
      </x:c>
      <x:c r="I263" s="49" t="n">
        <x:v>0.3</x:v>
      </x:c>
      <x:c r="J263" s="49" t="str">
        <x:v>无（缘石高差，路侧停车待核）</x:v>
      </x:c>
      <x:c r="K263" s="49" t="n">
        <x:v>2.78</x:v>
      </x:c>
      <x:c r="L263" s="58" t="n">
        <x:f>IF(OR(E263="",K263="",K263=0),"n.a.",E263/K263)</x:f>
        <x:v>3.7410071942446046</x:v>
      </x:c>
      <x:c r="M263" s="38" t="str">
        <x:v>00:00—24:00</x:v>
      </x:c>
      <x:c r="N263" s="59" t="n">
        <x:v>0.3</x:v>
      </x:c>
      <x:c r="O263" s="38" t="str">
        <x:v>OSM</x:v>
      </x:c>
      <x:c r="P263" s="38" t="str">
        <x:v>原始社区数据表</x:v>
      </x:c>
      <x:c r="Q263" s="2"/>
      <x:c r="R263" s="2"/>
      <x:c r="S263" s="2"/>
      <x:c r="T263" s="2"/>
      <x:c r="U263" s="2"/>
      <x:c r="V263" s="2"/>
    </x:row>
    <x:row r="264" ht="34" customHeight="1">
      <x:c r="A264" s="38" t="str">
        <x:v>C03-E122</x:v>
      </x:c>
      <x:c r="B264" s="38" t="str">
        <x:v>C03</x:v>
      </x:c>
      <x:c r="C264" s="38" t="str">
        <x:v>C03-R174</x:v>
      </x:c>
      <x:c r="D264" s="38" t="str">
        <x:v>C03-R175</x:v>
      </x:c>
      <x:c r="E264" s="55" t="n">
        <x:v>10.2</x:v>
      </x:c>
      <x:c r="F264" s="38" t="str">
        <x:v>是</x:v>
      </x:c>
      <x:c r="G264" s="38" t="str">
        <x:v>是</x:v>
      </x:c>
      <x:c r="H264" s="49" t="n">
        <x:v>4</x:v>
      </x:c>
      <x:c r="I264" s="49" t="n">
        <x:v>0.3</x:v>
      </x:c>
      <x:c r="J264" s="49" t="str">
        <x:v>无（缘石高差，路侧停车待核）</x:v>
      </x:c>
      <x:c r="K264" s="49" t="n">
        <x:v>2.78</x:v>
      </x:c>
      <x:c r="L264" s="58" t="n">
        <x:f>IF(OR(E264="",K264="",K264=0),"n.a.",E264/K264)</x:f>
        <x:v>3.6690647482014387</x:v>
      </x:c>
      <x:c r="M264" s="38" t="str">
        <x:v>00:00—24:00</x:v>
      </x:c>
      <x:c r="N264" s="59" t="n">
        <x:v>0.3</x:v>
      </x:c>
      <x:c r="O264" s="38" t="str">
        <x:v>OSM</x:v>
      </x:c>
      <x:c r="P264" s="38" t="str">
        <x:v>原始社区数据表</x:v>
      </x:c>
      <x:c r="Q264" s="2"/>
      <x:c r="R264" s="2"/>
      <x:c r="S264" s="2"/>
      <x:c r="T264" s="2"/>
      <x:c r="U264" s="2"/>
      <x:c r="V264" s="2"/>
    </x:row>
    <x:row r="265" ht="34" customHeight="1">
      <x:c r="A265" s="38" t="str">
        <x:v>C03-E123</x:v>
      </x:c>
      <x:c r="B265" s="38" t="str">
        <x:v>C03</x:v>
      </x:c>
      <x:c r="C265" s="38" t="str">
        <x:v>C03-R175</x:v>
      </x:c>
      <x:c r="D265" s="38" t="str">
        <x:v>C03-R176</x:v>
      </x:c>
      <x:c r="E265" s="55" t="n">
        <x:v>48.6</x:v>
      </x:c>
      <x:c r="F265" s="38" t="str">
        <x:v>是</x:v>
      </x:c>
      <x:c r="G265" s="38" t="str">
        <x:v>是</x:v>
      </x:c>
      <x:c r="H265" s="49" t="n">
        <x:v>4</x:v>
      </x:c>
      <x:c r="I265" s="49" t="n">
        <x:v>0.3</x:v>
      </x:c>
      <x:c r="J265" s="49" t="str">
        <x:v>无（缘石高差，路侧停车待核）</x:v>
      </x:c>
      <x:c r="K265" s="49" t="n">
        <x:v>2.78</x:v>
      </x:c>
      <x:c r="L265" s="58" t="n">
        <x:f>IF(OR(E265="",K265="",K265=0),"n.a.",E265/K265)</x:f>
        <x:v>17.482014388489212</x:v>
      </x:c>
      <x:c r="M265" s="38" t="str">
        <x:v>00:00—24:00</x:v>
      </x:c>
      <x:c r="N265" s="59" t="n">
        <x:v>0.3</x:v>
      </x:c>
      <x:c r="O265" s="38" t="str">
        <x:v>OSM</x:v>
      </x:c>
      <x:c r="P265" s="38" t="str">
        <x:v>原始社区数据表</x:v>
      </x:c>
      <x:c r="Q265" s="2"/>
      <x:c r="R265" s="2"/>
      <x:c r="S265" s="2"/>
      <x:c r="T265" s="2"/>
      <x:c r="U265" s="2"/>
      <x:c r="V265" s="2"/>
    </x:row>
    <x:row r="266" ht="34" customHeight="1">
      <x:c r="A266" s="38" t="str">
        <x:v>C03-E124</x:v>
      </x:c>
      <x:c r="B266" s="38" t="str">
        <x:v>C03</x:v>
      </x:c>
      <x:c r="C266" s="38" t="str">
        <x:v>C03-R176</x:v>
      </x:c>
      <x:c r="D266" s="38" t="str">
        <x:v>C03-R177</x:v>
      </x:c>
      <x:c r="E266" s="55" t="n">
        <x:v>11.5</x:v>
      </x:c>
      <x:c r="F266" s="38" t="str">
        <x:v>是</x:v>
      </x:c>
      <x:c r="G266" s="38" t="str">
        <x:v>是</x:v>
      </x:c>
      <x:c r="H266" s="49" t="n">
        <x:v>4</x:v>
      </x:c>
      <x:c r="I266" s="49" t="n">
        <x:v>0.3</x:v>
      </x:c>
      <x:c r="J266" s="49" t="str">
        <x:v>无（缘石高差，路侧停车待核）</x:v>
      </x:c>
      <x:c r="K266" s="49" t="n">
        <x:v>2.78</x:v>
      </x:c>
      <x:c r="L266" s="58" t="n">
        <x:f>IF(OR(E266="",K266="",K266=0),"n.a.",E266/K266)</x:f>
        <x:v>4.136690647482014</x:v>
      </x:c>
      <x:c r="M266" s="38" t="str">
        <x:v>00:00—24:00</x:v>
      </x:c>
      <x:c r="N266" s="59" t="n">
        <x:v>0.3</x:v>
      </x:c>
      <x:c r="O266" s="38" t="str">
        <x:v>OSM</x:v>
      </x:c>
      <x:c r="P266" s="38" t="str">
        <x:v>原始社区数据表</x:v>
      </x:c>
      <x:c r="Q266" s="2"/>
      <x:c r="R266" s="2"/>
      <x:c r="S266" s="2"/>
      <x:c r="T266" s="2"/>
      <x:c r="U266" s="2"/>
      <x:c r="V266" s="2"/>
    </x:row>
    <x:row r="267" ht="34" customHeight="1">
      <x:c r="A267" s="38" t="str">
        <x:v>C03-E125</x:v>
      </x:c>
      <x:c r="B267" s="38" t="str">
        <x:v>C03</x:v>
      </x:c>
      <x:c r="C267" s="38" t="str">
        <x:v>C03-R178</x:v>
      </x:c>
      <x:c r="D267" s="38" t="str">
        <x:v>C03-R179</x:v>
      </x:c>
      <x:c r="E267" s="55" t="n">
        <x:v>143</x:v>
      </x:c>
      <x:c r="F267" s="38" t="str">
        <x:v>是</x:v>
      </x:c>
      <x:c r="G267" s="38" t="str">
        <x:v>是</x:v>
      </x:c>
      <x:c r="H267" s="49" t="n">
        <x:v>4</x:v>
      </x:c>
      <x:c r="I267" s="49" t="n">
        <x:v>0.3</x:v>
      </x:c>
      <x:c r="J267" s="49" t="str">
        <x:v>无（缘石高差，路侧停车待核）</x:v>
      </x:c>
      <x:c r="K267" s="49" t="n">
        <x:v>2.78</x:v>
      </x:c>
      <x:c r="L267" s="58" t="n">
        <x:f>IF(OR(E267="",K267="",K267=0),"n.a.",E267/K267)</x:f>
        <x:v>51.438848920863315</x:v>
      </x:c>
      <x:c r="M267" s="38" t="str">
        <x:v>00:00—24:00</x:v>
      </x:c>
      <x:c r="N267" s="59" t="n">
        <x:v>0.3</x:v>
      </x:c>
      <x:c r="O267" s="38" t="str">
        <x:v>OSM</x:v>
      </x:c>
      <x:c r="P267" s="38" t="str">
        <x:v>原始社区数据表</x:v>
      </x:c>
      <x:c r="Q267" s="2"/>
      <x:c r="R267" s="2"/>
      <x:c r="S267" s="2"/>
      <x:c r="T267" s="2"/>
      <x:c r="U267" s="2"/>
      <x:c r="V267" s="2"/>
    </x:row>
    <x:row r="268" ht="34" customHeight="1">
      <x:c r="A268" s="38" t="str">
        <x:v>C03-E126</x:v>
      </x:c>
      <x:c r="B268" s="38" t="str">
        <x:v>C03</x:v>
      </x:c>
      <x:c r="C268" s="38" t="str">
        <x:v>C03-R051</x:v>
      </x:c>
      <x:c r="D268" s="38" t="str">
        <x:v>C03-R180</x:v>
      </x:c>
      <x:c r="E268" s="55" t="n">
        <x:v>65</x:v>
      </x:c>
      <x:c r="F268" s="38" t="str">
        <x:v>否</x:v>
      </x:c>
      <x:c r="G268" s="38" t="str">
        <x:v>是</x:v>
      </x:c>
      <x:c r="H268" s="49" t="n">
        <x:v>7.5</x:v>
      </x:c>
      <x:c r="I268" s="49" t="n">
        <x:v>0.3</x:v>
      </x:c>
      <x:c r="J268" s="49" t="str">
        <x:v>无（缘石高差，路侧停车待核）</x:v>
      </x:c>
      <x:c r="K268" s="49" t="n">
        <x:v>3.33</x:v>
      </x:c>
      <x:c r="L268" s="58" t="n">
        <x:f>IF(OR(E268="",K268="",K268=0),"n.a.",E268/K268)</x:f>
        <x:v>19.51951951951952</x:v>
      </x:c>
      <x:c r="M268" s="38" t="str">
        <x:v>00:00—24:00</x:v>
      </x:c>
      <x:c r="N268" s="59" t="n">
        <x:v>0.3</x:v>
      </x:c>
      <x:c r="O268" s="38" t="str">
        <x:v>OSM</x:v>
      </x:c>
      <x:c r="P268" s="38" t="str">
        <x:v>原始社区数据表</x:v>
      </x:c>
      <x:c r="Q268" s="2"/>
      <x:c r="R268" s="2"/>
      <x:c r="S268" s="2"/>
      <x:c r="T268" s="2"/>
      <x:c r="U268" s="2"/>
      <x:c r="V268" s="2"/>
    </x:row>
    <x:row r="269" ht="34" customHeight="1">
      <x:c r="A269" s="38" t="str">
        <x:v>C03-E127</x:v>
      </x:c>
      <x:c r="B269" s="38" t="str">
        <x:v>C03</x:v>
      </x:c>
      <x:c r="C269" s="38" t="str">
        <x:v>C03-R180</x:v>
      </x:c>
      <x:c r="D269" s="38" t="str">
        <x:v>C03-R106</x:v>
      </x:c>
      <x:c r="E269" s="55" t="n">
        <x:v>214.4</x:v>
      </x:c>
      <x:c r="F269" s="38" t="str">
        <x:v>否</x:v>
      </x:c>
      <x:c r="G269" s="38" t="str">
        <x:v>是</x:v>
      </x:c>
      <x:c r="H269" s="49" t="n">
        <x:v>7.5</x:v>
      </x:c>
      <x:c r="I269" s="49" t="n">
        <x:v>0.3</x:v>
      </x:c>
      <x:c r="J269" s="49" t="str">
        <x:v>无（缘石高差，路侧停车待核）</x:v>
      </x:c>
      <x:c r="K269" s="49" t="n">
        <x:v>3.33</x:v>
      </x:c>
      <x:c r="L269" s="58" t="n">
        <x:f>IF(OR(E269="",K269="",K269=0),"n.a.",E269/K269)</x:f>
        <x:v>64.38438438438439</x:v>
      </x:c>
      <x:c r="M269" s="38" t="str">
        <x:v>00:00—24:00</x:v>
      </x:c>
      <x:c r="N269" s="59" t="n">
        <x:v>0.3</x:v>
      </x:c>
      <x:c r="O269" s="38" t="str">
        <x:v>OSM</x:v>
      </x:c>
      <x:c r="P269" s="38" t="str">
        <x:v>原始社区数据表</x:v>
      </x:c>
      <x:c r="Q269" s="2"/>
      <x:c r="R269" s="2"/>
      <x:c r="S269" s="2"/>
      <x:c r="T269" s="2"/>
      <x:c r="U269" s="2"/>
      <x:c r="V269" s="2"/>
    </x:row>
    <x:row r="270" ht="34" customHeight="1">
      <x:c r="A270" s="38" t="str">
        <x:v>C03-E128</x:v>
      </x:c>
      <x:c r="B270" s="38" t="str">
        <x:v>C03</x:v>
      </x:c>
      <x:c r="C270" s="38" t="str">
        <x:v>C03-R106</x:v>
      </x:c>
      <x:c r="D270" s="38" t="str">
        <x:v>C03-R002</x:v>
      </x:c>
      <x:c r="E270" s="55" t="n">
        <x:v>15.2</x:v>
      </x:c>
      <x:c r="F270" s="38" t="str">
        <x:v>否</x:v>
      </x:c>
      <x:c r="G270" s="38" t="str">
        <x:v>是</x:v>
      </x:c>
      <x:c r="H270" s="49" t="n">
        <x:v>7.5</x:v>
      </x:c>
      <x:c r="I270" s="49" t="n">
        <x:v>0.3</x:v>
      </x:c>
      <x:c r="J270" s="49" t="str">
        <x:v>无（缘石高差，路侧停车待核）</x:v>
      </x:c>
      <x:c r="K270" s="49" t="n">
        <x:v>3.33</x:v>
      </x:c>
      <x:c r="L270" s="58" t="n">
        <x:f>IF(OR(E270="",K270="",K270=0),"n.a.",E270/K270)</x:f>
        <x:v>4.564564564564564</x:v>
      </x:c>
      <x:c r="M270" s="38" t="str">
        <x:v>00:00—24:00</x:v>
      </x:c>
      <x:c r="N270" s="59" t="n">
        <x:v>0.3</x:v>
      </x:c>
      <x:c r="O270" s="38" t="str">
        <x:v>OSM</x:v>
      </x:c>
      <x:c r="P270" s="38" t="str">
        <x:v>原始社区数据表</x:v>
      </x:c>
      <x:c r="Q270" s="2"/>
      <x:c r="R270" s="2"/>
      <x:c r="S270" s="2"/>
      <x:c r="T270" s="2"/>
      <x:c r="U270" s="2"/>
      <x:c r="V270" s="2"/>
    </x:row>
    <x:row r="271" ht="34" customHeight="1">
      <x:c r="A271" s="38" t="str">
        <x:v>C03-E129</x:v>
      </x:c>
      <x:c r="B271" s="38" t="str">
        <x:v>C03</x:v>
      </x:c>
      <x:c r="C271" s="38" t="str">
        <x:v>C03-R180</x:v>
      </x:c>
      <x:c r="D271" s="38" t="str">
        <x:v>C03-R159</x:v>
      </x:c>
      <x:c r="E271" s="55" t="n">
        <x:v>14.1</x:v>
      </x:c>
      <x:c r="F271" s="38" t="str">
        <x:v>否</x:v>
      </x:c>
      <x:c r="G271" s="38" t="str">
        <x:v>是</x:v>
      </x:c>
      <x:c r="H271" s="49" t="n">
        <x:v>7.5</x:v>
      </x:c>
      <x:c r="I271" s="49" t="n">
        <x:v>0.3</x:v>
      </x:c>
      <x:c r="J271" s="49" t="str">
        <x:v>无（缘石高差，路侧停车待核）</x:v>
      </x:c>
      <x:c r="K271" s="49" t="n">
        <x:v>3.33</x:v>
      </x:c>
      <x:c r="L271" s="58" t="n">
        <x:f>IF(OR(E271="",K271="",K271=0),"n.a.",E271/K271)</x:f>
        <x:v>4.234234234234234</x:v>
      </x:c>
      <x:c r="M271" s="38" t="str">
        <x:v>00:00—24:00</x:v>
      </x:c>
      <x:c r="N271" s="59" t="n">
        <x:v>0.3</x:v>
      </x:c>
      <x:c r="O271" s="38" t="str">
        <x:v>OSM</x:v>
      </x:c>
      <x:c r="P271" s="38" t="str">
        <x:v>原始社区数据表</x:v>
      </x:c>
      <x:c r="Q271" s="2"/>
      <x:c r="R271" s="2"/>
      <x:c r="S271" s="2"/>
      <x:c r="T271" s="2"/>
      <x:c r="U271" s="2"/>
      <x:c r="V271" s="2"/>
    </x:row>
    <x:row r="272" ht="34" customHeight="1">
      <x:c r="A272" s="38" t="str">
        <x:v>C03-E130</x:v>
      </x:c>
      <x:c r="B272" s="38" t="str">
        <x:v>C03</x:v>
      </x:c>
      <x:c r="C272" s="38" t="str">
        <x:v>C03-R181</x:v>
      </x:c>
      <x:c r="D272" s="38" t="str">
        <x:v>C03-R182</x:v>
      </x:c>
      <x:c r="E272" s="55" t="n">
        <x:v>16.8</x:v>
      </x:c>
      <x:c r="F272" s="38" t="str">
        <x:v>否</x:v>
      </x:c>
      <x:c r="G272" s="38" t="str">
        <x:v>是</x:v>
      </x:c>
      <x:c r="H272" s="49" t="n">
        <x:v>7.5</x:v>
      </x:c>
      <x:c r="I272" s="49" t="n">
        <x:v>0.3</x:v>
      </x:c>
      <x:c r="J272" s="49" t="str">
        <x:v>无（缘石高差，路侧停车待核）</x:v>
      </x:c>
      <x:c r="K272" s="49" t="n">
        <x:v>3.33</x:v>
      </x:c>
      <x:c r="L272" s="58" t="n">
        <x:f>IF(OR(E272="",K272="",K272=0),"n.a.",E272/K272)</x:f>
        <x:v>5.045045045045045</x:v>
      </x:c>
      <x:c r="M272" s="38" t="str">
        <x:v>00:00—24:00</x:v>
      </x:c>
      <x:c r="N272" s="59" t="n">
        <x:v>0.3</x:v>
      </x:c>
      <x:c r="O272" s="38" t="str">
        <x:v>OSM</x:v>
      </x:c>
      <x:c r="P272" s="38" t="str">
        <x:v>原始社区数据表</x:v>
      </x:c>
      <x:c r="Q272" s="2"/>
      <x:c r="R272" s="2"/>
      <x:c r="S272" s="2"/>
      <x:c r="T272" s="2"/>
      <x:c r="U272" s="2"/>
      <x:c r="V272" s="2"/>
    </x:row>
    <x:row r="273" ht="34" customHeight="1">
      <x:c r="A273" s="38" t="str">
        <x:v>C03-E131</x:v>
      </x:c>
      <x:c r="B273" s="38" t="str">
        <x:v>C03</x:v>
      </x:c>
      <x:c r="C273" s="38" t="str">
        <x:v>C03-R182</x:v>
      </x:c>
      <x:c r="D273" s="38" t="str">
        <x:v>C03-R153</x:v>
      </x:c>
      <x:c r="E273" s="55" t="n">
        <x:v>303.7</x:v>
      </x:c>
      <x:c r="F273" s="38" t="str">
        <x:v>否</x:v>
      </x:c>
      <x:c r="G273" s="38" t="str">
        <x:v>是</x:v>
      </x:c>
      <x:c r="H273" s="49" t="n">
        <x:v>7.5</x:v>
      </x:c>
      <x:c r="I273" s="49" t="n">
        <x:v>0.3</x:v>
      </x:c>
      <x:c r="J273" s="49" t="str">
        <x:v>无（缘石高差，路侧停车待核）</x:v>
      </x:c>
      <x:c r="K273" s="49" t="n">
        <x:v>3.33</x:v>
      </x:c>
      <x:c r="L273" s="58" t="n">
        <x:f>IF(OR(E273="",K273="",K273=0),"n.a.",E273/K273)</x:f>
        <x:v>91.2012012012012</x:v>
      </x:c>
      <x:c r="M273" s="38" t="str">
        <x:v>00:00—24:00</x:v>
      </x:c>
      <x:c r="N273" s="59" t="n">
        <x:v>0.3</x:v>
      </x:c>
      <x:c r="O273" s="38" t="str">
        <x:v>OSM</x:v>
      </x:c>
      <x:c r="P273" s="38" t="str">
        <x:v>原始社区数据表</x:v>
      </x:c>
      <x:c r="Q273" s="2"/>
      <x:c r="R273" s="2"/>
      <x:c r="S273" s="2"/>
      <x:c r="T273" s="2"/>
      <x:c r="U273" s="2"/>
      <x:c r="V273" s="2"/>
    </x:row>
    <x:row r="274" ht="34" customHeight="1">
      <x:c r="A274" s="38" t="str">
        <x:v>C03-E132</x:v>
      </x:c>
      <x:c r="B274" s="38" t="str">
        <x:v>C03</x:v>
      </x:c>
      <x:c r="C274" s="38" t="str">
        <x:v>C03-R181</x:v>
      </x:c>
      <x:c r="D274" s="38" t="str">
        <x:v>C03-R183</x:v>
      </x:c>
      <x:c r="E274" s="55" t="n">
        <x:v>11.3</x:v>
      </x:c>
      <x:c r="F274" s="38" t="str">
        <x:v>否</x:v>
      </x:c>
      <x:c r="G274" s="38" t="str">
        <x:v>是</x:v>
      </x:c>
      <x:c r="H274" s="49" t="n">
        <x:v>12</x:v>
      </x:c>
      <x:c r="I274" s="49" t="n">
        <x:v>0.3</x:v>
      </x:c>
      <x:c r="J274" s="49" t="str">
        <x:v>无（缘石高差，路侧停车待核）</x:v>
      </x:c>
      <x:c r="K274" s="49" t="n">
        <x:v>3.33</x:v>
      </x:c>
      <x:c r="L274" s="58" t="n">
        <x:f>IF(OR(E274="",K274="",K274=0),"n.a.",E274/K274)</x:f>
        <x:v>3.3933933933933935</x:v>
      </x:c>
      <x:c r="M274" s="38" t="str">
        <x:v>00:00—24:00</x:v>
      </x:c>
      <x:c r="N274" s="59" t="n">
        <x:v>0.3</x:v>
      </x:c>
      <x:c r="O274" s="38" t="str">
        <x:v>OSM</x:v>
      </x:c>
      <x:c r="P274" s="38" t="str">
        <x:v>原始社区数据表</x:v>
      </x:c>
      <x:c r="Q274" s="2"/>
      <x:c r="R274" s="2"/>
      <x:c r="S274" s="2"/>
      <x:c r="T274" s="2"/>
      <x:c r="U274" s="2"/>
      <x:c r="V274" s="2"/>
    </x:row>
    <x:row r="275" ht="34" customHeight="1">
      <x:c r="A275" s="38" t="str">
        <x:v>C03-E133</x:v>
      </x:c>
      <x:c r="B275" s="38" t="str">
        <x:v>C03</x:v>
      </x:c>
      <x:c r="C275" s="38" t="str">
        <x:v>C03-R183</x:v>
      </x:c>
      <x:c r="D275" s="38" t="str">
        <x:v>C03-R184</x:v>
      </x:c>
      <x:c r="E275" s="55" t="n">
        <x:v>273.8</x:v>
      </x:c>
      <x:c r="F275" s="38" t="str">
        <x:v>否</x:v>
      </x:c>
      <x:c r="G275" s="38" t="str">
        <x:v>是</x:v>
      </x:c>
      <x:c r="H275" s="49" t="n">
        <x:v>12</x:v>
      </x:c>
      <x:c r="I275" s="49" t="n">
        <x:v>0.3</x:v>
      </x:c>
      <x:c r="J275" s="49" t="str">
        <x:v>无（缘石高差，路侧停车待核）</x:v>
      </x:c>
      <x:c r="K275" s="49" t="n">
        <x:v>3.33</x:v>
      </x:c>
      <x:c r="L275" s="58" t="n">
        <x:f>IF(OR(E275="",K275="",K275=0),"n.a.",E275/K275)</x:f>
        <x:v>82.22222222222223</x:v>
      </x:c>
      <x:c r="M275" s="38" t="str">
        <x:v>00:00—24:00</x:v>
      </x:c>
      <x:c r="N275" s="59" t="n">
        <x:v>0.3</x:v>
      </x:c>
      <x:c r="O275" s="38" t="str">
        <x:v>OSM</x:v>
      </x:c>
      <x:c r="P275" s="38" t="str">
        <x:v>原始社区数据表</x:v>
      </x:c>
      <x:c r="Q275" s="2"/>
      <x:c r="R275" s="2"/>
      <x:c r="S275" s="2"/>
      <x:c r="T275" s="2"/>
      <x:c r="U275" s="2"/>
      <x:c r="V275" s="2"/>
    </x:row>
    <x:row r="276" ht="34" customHeight="1">
      <x:c r="A276" s="38" t="str">
        <x:v>C03-E134</x:v>
      </x:c>
      <x:c r="B276" s="38" t="str">
        <x:v>C03</x:v>
      </x:c>
      <x:c r="C276" s="38" t="str">
        <x:v>C03-R184</x:v>
      </x:c>
      <x:c r="D276" s="38" t="str">
        <x:v>C03-R185</x:v>
      </x:c>
      <x:c r="E276" s="55" t="n">
        <x:v>156.9</x:v>
      </x:c>
      <x:c r="F276" s="38" t="str">
        <x:v>否</x:v>
      </x:c>
      <x:c r="G276" s="38" t="str">
        <x:v>是</x:v>
      </x:c>
      <x:c r="H276" s="49" t="n">
        <x:v>12</x:v>
      </x:c>
      <x:c r="I276" s="49" t="n">
        <x:v>0.3</x:v>
      </x:c>
      <x:c r="J276" s="49" t="str">
        <x:v>无（缘石高差，路侧停车待核）</x:v>
      </x:c>
      <x:c r="K276" s="49" t="n">
        <x:v>3.33</x:v>
      </x:c>
      <x:c r="L276" s="58" t="n">
        <x:f>IF(OR(E276="",K276="",K276=0),"n.a.",E276/K276)</x:f>
        <x:v>47.11711711711712</x:v>
      </x:c>
      <x:c r="M276" s="38" t="str">
        <x:v>00:00—24:00</x:v>
      </x:c>
      <x:c r="N276" s="59" t="n">
        <x:v>0.3</x:v>
      </x:c>
      <x:c r="O276" s="38" t="str">
        <x:v>OSM</x:v>
      </x:c>
      <x:c r="P276" s="38" t="str">
        <x:v>原始社区数据表</x:v>
      </x:c>
      <x:c r="Q276" s="2"/>
      <x:c r="R276" s="2"/>
      <x:c r="S276" s="2"/>
      <x:c r="T276" s="2"/>
      <x:c r="U276" s="2"/>
      <x:c r="V276" s="2"/>
    </x:row>
    <x:row r="277" ht="34" customHeight="1">
      <x:c r="A277" s="38" t="str">
        <x:v>C03-E135</x:v>
      </x:c>
      <x:c r="B277" s="38" t="str">
        <x:v>C03</x:v>
      </x:c>
      <x:c r="C277" s="38" t="str">
        <x:v>C03-R185</x:v>
      </x:c>
      <x:c r="D277" s="38" t="str">
        <x:v>C03-R006</x:v>
      </x:c>
      <x:c r="E277" s="55" t="n">
        <x:v>10</x:v>
      </x:c>
      <x:c r="F277" s="38" t="str">
        <x:v>否</x:v>
      </x:c>
      <x:c r="G277" s="38" t="str">
        <x:v>是</x:v>
      </x:c>
      <x:c r="H277" s="49" t="n">
        <x:v>12</x:v>
      </x:c>
      <x:c r="I277" s="49" t="n">
        <x:v>0.3</x:v>
      </x:c>
      <x:c r="J277" s="49" t="str">
        <x:v>无（缘石高差，路侧停车待核）</x:v>
      </x:c>
      <x:c r="K277" s="49" t="n">
        <x:v>3.33</x:v>
      </x:c>
      <x:c r="L277" s="58" t="n">
        <x:f>IF(OR(E277="",K277="",K277=0),"n.a.",E277/K277)</x:f>
        <x:v>3.003003003003003</x:v>
      </x:c>
      <x:c r="M277" s="38" t="str">
        <x:v>00:00—24:00</x:v>
      </x:c>
      <x:c r="N277" s="59" t="n">
        <x:v>0.3</x:v>
      </x:c>
      <x:c r="O277" s="38" t="str">
        <x:v>OSM</x:v>
      </x:c>
      <x:c r="P277" s="38" t="str">
        <x:v>原始社区数据表</x:v>
      </x:c>
      <x:c r="Q277" s="2"/>
      <x:c r="R277" s="2"/>
      <x:c r="S277" s="2"/>
      <x:c r="T277" s="2"/>
      <x:c r="U277" s="2"/>
      <x:c r="V277" s="2"/>
    </x:row>
    <x:row r="278" ht="34" customHeight="1">
      <x:c r="A278" s="38" t="str">
        <x:v>C03-E136</x:v>
      </x:c>
      <x:c r="B278" s="38" t="str">
        <x:v>C03</x:v>
      </x:c>
      <x:c r="C278" s="38" t="str">
        <x:v>C03-R184</x:v>
      </x:c>
      <x:c r="D278" s="38" t="str">
        <x:v>C03-R153</x:v>
      </x:c>
      <x:c r="E278" s="55" t="n">
        <x:v>32.1</x:v>
      </x:c>
      <x:c r="F278" s="38" t="str">
        <x:v>否</x:v>
      </x:c>
      <x:c r="G278" s="38" t="str">
        <x:v>是</x:v>
      </x:c>
      <x:c r="H278" s="49" t="n">
        <x:v>7.5</x:v>
      </x:c>
      <x:c r="I278" s="49" t="n">
        <x:v>0.3</x:v>
      </x:c>
      <x:c r="J278" s="49" t="str">
        <x:v>无（缘石高差，路侧停车待核）</x:v>
      </x:c>
      <x:c r="K278" s="49" t="n">
        <x:v>3.33</x:v>
      </x:c>
      <x:c r="L278" s="58" t="n">
        <x:f>IF(OR(E278="",K278="",K278=0),"n.a.",E278/K278)</x:f>
        <x:v>9.63963963963964</x:v>
      </x:c>
      <x:c r="M278" s="38" t="str">
        <x:v>00:00—24:00</x:v>
      </x:c>
      <x:c r="N278" s="59" t="n">
        <x:v>0.3</x:v>
      </x:c>
      <x:c r="O278" s="38" t="str">
        <x:v>OSM</x:v>
      </x:c>
      <x:c r="P278" s="38" t="str">
        <x:v>原始社区数据表</x:v>
      </x:c>
      <x:c r="Q278" s="2"/>
      <x:c r="R278" s="2"/>
      <x:c r="S278" s="2"/>
      <x:c r="T278" s="2"/>
      <x:c r="U278" s="2"/>
      <x:c r="V278" s="2"/>
    </x:row>
    <x:row r="279" ht="34" customHeight="1">
      <x:c r="A279" s="38" t="str">
        <x:v>C03-E137</x:v>
      </x:c>
      <x:c r="B279" s="38" t="str">
        <x:v>C03</x:v>
      </x:c>
      <x:c r="C279" s="38" t="str">
        <x:v>C03-R002</x:v>
      </x:c>
      <x:c r="D279" s="38" t="str">
        <x:v>C03-R185</x:v>
      </x:c>
      <x:c r="E279" s="55" t="n">
        <x:v>19.3</x:v>
      </x:c>
      <x:c r="F279" s="38" t="str">
        <x:v>否</x:v>
      </x:c>
      <x:c r="G279" s="38" t="str">
        <x:v>是</x:v>
      </x:c>
      <x:c r="H279" s="49" t="n">
        <x:v>7.5</x:v>
      </x:c>
      <x:c r="I279" s="49" t="n">
        <x:v>0.3</x:v>
      </x:c>
      <x:c r="J279" s="49" t="str">
        <x:v>无（缘石高差，路侧停车待核）</x:v>
      </x:c>
      <x:c r="K279" s="49" t="n">
        <x:v>3.33</x:v>
      </x:c>
      <x:c r="L279" s="58" t="n">
        <x:f>IF(OR(E279="",K279="",K279=0),"n.a.",E279/K279)</x:f>
        <x:v>5.7957957957957955</x:v>
      </x:c>
      <x:c r="M279" s="38" t="str">
        <x:v>00:00—24:00</x:v>
      </x:c>
      <x:c r="N279" s="59" t="n">
        <x:v>0.3</x:v>
      </x:c>
      <x:c r="O279" s="38" t="str">
        <x:v>OSM</x:v>
      </x:c>
      <x:c r="P279" s="38" t="str">
        <x:v>原始社区数据表</x:v>
      </x:c>
      <x:c r="Q279" s="2"/>
      <x:c r="R279" s="2"/>
      <x:c r="S279" s="2"/>
      <x:c r="T279" s="2"/>
      <x:c r="U279" s="2"/>
      <x:c r="V279" s="2"/>
    </x:row>
    <x:row r="280" ht="34" customHeight="1">
      <x:c r="A280" s="38" t="str">
        <x:v>C03-E138</x:v>
      </x:c>
      <x:c r="B280" s="38" t="str">
        <x:v>C03</x:v>
      </x:c>
      <x:c r="C280" s="38" t="str">
        <x:v>C03-R185</x:v>
      </x:c>
      <x:c r="D280" s="38" t="str">
        <x:v>C03-R162</x:v>
      </x:c>
      <x:c r="E280" s="55" t="n">
        <x:v>14</x:v>
      </x:c>
      <x:c r="F280" s="38" t="str">
        <x:v>否</x:v>
      </x:c>
      <x:c r="G280" s="38" t="str">
        <x:v>是</x:v>
      </x:c>
      <x:c r="H280" s="49" t="n">
        <x:v>7.5</x:v>
      </x:c>
      <x:c r="I280" s="49" t="n">
        <x:v>0.3</x:v>
      </x:c>
      <x:c r="J280" s="49" t="str">
        <x:v>无（缘石高差，路侧停车待核）</x:v>
      </x:c>
      <x:c r="K280" s="49" t="n">
        <x:v>3.33</x:v>
      </x:c>
      <x:c r="L280" s="58" t="n">
        <x:f>IF(OR(E280="",K280="",K280=0),"n.a.",E280/K280)</x:f>
        <x:v>4.2042042042042045</x:v>
      </x:c>
      <x:c r="M280" s="38" t="str">
        <x:v>00:00—24:00</x:v>
      </x:c>
      <x:c r="N280" s="59" t="n">
        <x:v>0.3</x:v>
      </x:c>
      <x:c r="O280" s="38" t="str">
        <x:v>OSM</x:v>
      </x:c>
      <x:c r="P280" s="38" t="str">
        <x:v>原始社区数据表</x:v>
      </x:c>
      <x:c r="Q280" s="2"/>
      <x:c r="R280" s="2"/>
      <x:c r="S280" s="2"/>
      <x:c r="T280" s="2"/>
      <x:c r="U280" s="2"/>
      <x:c r="V280" s="2"/>
    </x:row>
    <x:row r="281" ht="34" customHeight="1">
      <x:c r="A281" s="38" t="str">
        <x:v>C03-E139</x:v>
      </x:c>
      <x:c r="B281" s="38" t="str">
        <x:v>C03</x:v>
      </x:c>
      <x:c r="C281" s="38" t="str">
        <x:v>C03-R162</x:v>
      </x:c>
      <x:c r="D281" s="38" t="str">
        <x:v>C03-R157</x:v>
      </x:c>
      <x:c r="E281" s="55" t="n">
        <x:v>79.3</x:v>
      </x:c>
      <x:c r="F281" s="38" t="str">
        <x:v>否</x:v>
      </x:c>
      <x:c r="G281" s="38" t="str">
        <x:v>是</x:v>
      </x:c>
      <x:c r="H281" s="49" t="n">
        <x:v>7.5</x:v>
      </x:c>
      <x:c r="I281" s="49" t="n">
        <x:v>0.3</x:v>
      </x:c>
      <x:c r="J281" s="49" t="str">
        <x:v>无（缘石高差，路侧停车待核）</x:v>
      </x:c>
      <x:c r="K281" s="49" t="n">
        <x:v>3.33</x:v>
      </x:c>
      <x:c r="L281" s="58" t="n">
        <x:f>IF(OR(E281="",K281="",K281=0),"n.a.",E281/K281)</x:f>
        <x:v>23.813813813813812</x:v>
      </x:c>
      <x:c r="M281" s="38" t="str">
        <x:v>00:00—24:00</x:v>
      </x:c>
      <x:c r="N281" s="59" t="n">
        <x:v>0.3</x:v>
      </x:c>
      <x:c r="O281" s="38" t="str">
        <x:v>OSM</x:v>
      </x:c>
      <x:c r="P281" s="38" t="str">
        <x:v>原始社区数据表</x:v>
      </x:c>
      <x:c r="Q281" s="2"/>
      <x:c r="R281" s="2"/>
      <x:c r="S281" s="2"/>
      <x:c r="T281" s="2"/>
      <x:c r="U281" s="2"/>
      <x:c r="V281" s="2"/>
    </x:row>
    <x:row r="282" ht="34" customHeight="1">
      <x:c r="A282" s="38" t="str">
        <x:v>C03-E140</x:v>
      </x:c>
      <x:c r="B282" s="38" t="str">
        <x:v>C03</x:v>
      </x:c>
      <x:c r="C282" s="38" t="str">
        <x:v>C03-R148</x:v>
      </x:c>
      <x:c r="D282" s="38" t="str">
        <x:v>C03-R031</x:v>
      </x:c>
      <x:c r="E282" s="55" t="n">
        <x:v>6.3</x:v>
      </x:c>
      <x:c r="F282" s="38" t="str">
        <x:v>否</x:v>
      </x:c>
      <x:c r="G282" s="38" t="str">
        <x:v>是</x:v>
      </x:c>
      <x:c r="H282" s="49" t="n">
        <x:v>7.5</x:v>
      </x:c>
      <x:c r="I282" s="49" t="n">
        <x:v>0.3</x:v>
      </x:c>
      <x:c r="J282" s="49" t="str">
        <x:v>无（缘石高差，路侧停车待核）</x:v>
      </x:c>
      <x:c r="K282" s="49" t="n">
        <x:v>3.33</x:v>
      </x:c>
      <x:c r="L282" s="58" t="n">
        <x:f>IF(OR(E282="",K282="",K282=0),"n.a.",E282/K282)</x:f>
        <x:v>1.8918918918918919</x:v>
      </x:c>
      <x:c r="M282" s="38" t="str">
        <x:v>00:00—24:00</x:v>
      </x:c>
      <x:c r="N282" s="59" t="n">
        <x:v>0.3</x:v>
      </x:c>
      <x:c r="O282" s="38" t="str">
        <x:v>OSM</x:v>
      </x:c>
      <x:c r="P282" s="38" t="str">
        <x:v>原始社区数据表</x:v>
      </x:c>
      <x:c r="Q282" s="2"/>
      <x:c r="R282" s="2"/>
      <x:c r="S282" s="2"/>
      <x:c r="T282" s="2"/>
      <x:c r="U282" s="2"/>
      <x:c r="V282" s="2"/>
    </x:row>
    <x:row r="283" ht="34" customHeight="1">
      <x:c r="A283" s="38" t="str">
        <x:v>C03-E141</x:v>
      </x:c>
      <x:c r="B283" s="38" t="str">
        <x:v>C03</x:v>
      </x:c>
      <x:c r="C283" s="38" t="str">
        <x:v>C03-R031</x:v>
      </x:c>
      <x:c r="D283" s="38" t="str">
        <x:v>C03-R186</x:v>
      </x:c>
      <x:c r="E283" s="55" t="n">
        <x:v>209.9</x:v>
      </x:c>
      <x:c r="F283" s="38" t="str">
        <x:v>否</x:v>
      </x:c>
      <x:c r="G283" s="38" t="str">
        <x:v>是</x:v>
      </x:c>
      <x:c r="H283" s="49" t="n">
        <x:v>7.5</x:v>
      </x:c>
      <x:c r="I283" s="49" t="n">
        <x:v>0.3</x:v>
      </x:c>
      <x:c r="J283" s="49" t="str">
        <x:v>无（缘石高差，路侧停车待核）</x:v>
      </x:c>
      <x:c r="K283" s="49" t="n">
        <x:v>3.33</x:v>
      </x:c>
      <x:c r="L283" s="58" t="n">
        <x:f>IF(OR(E283="",K283="",K283=0),"n.a.",E283/K283)</x:f>
        <x:v>63.033033033033036</x:v>
      </x:c>
      <x:c r="M283" s="38" t="str">
        <x:v>00:00—24:00</x:v>
      </x:c>
      <x:c r="N283" s="59" t="n">
        <x:v>0.3</x:v>
      </x:c>
      <x:c r="O283" s="38" t="str">
        <x:v>OSM</x:v>
      </x:c>
      <x:c r="P283" s="38" t="str">
        <x:v>原始社区数据表</x:v>
      </x:c>
      <x:c r="Q283" s="2"/>
      <x:c r="R283" s="2"/>
      <x:c r="S283" s="2"/>
      <x:c r="T283" s="2"/>
      <x:c r="U283" s="2"/>
      <x:c r="V283" s="2"/>
    </x:row>
    <x:row r="284" ht="34" customHeight="1">
      <x:c r="A284" s="38" t="str">
        <x:v>C03-E142</x:v>
      </x:c>
      <x:c r="B284" s="38" t="str">
        <x:v>C03</x:v>
      </x:c>
      <x:c r="C284" s="38" t="str">
        <x:v>C03-R186</x:v>
      </x:c>
      <x:c r="D284" s="38" t="str">
        <x:v>C03-R187</x:v>
      </x:c>
      <x:c r="E284" s="55" t="n">
        <x:v>13.5</x:v>
      </x:c>
      <x:c r="F284" s="38" t="str">
        <x:v>否</x:v>
      </x:c>
      <x:c r="G284" s="38" t="str">
        <x:v>是</x:v>
      </x:c>
      <x:c r="H284" s="49" t="n">
        <x:v>7.5</x:v>
      </x:c>
      <x:c r="I284" s="49" t="n">
        <x:v>0.3</x:v>
      </x:c>
      <x:c r="J284" s="49" t="str">
        <x:v>无（缘石高差，路侧停车待核）</x:v>
      </x:c>
      <x:c r="K284" s="49" t="n">
        <x:v>3.33</x:v>
      </x:c>
      <x:c r="L284" s="58" t="n">
        <x:f>IF(OR(E284="",K284="",K284=0),"n.a.",E284/K284)</x:f>
        <x:v>4.054054054054054</x:v>
      </x:c>
      <x:c r="M284" s="38" t="str">
        <x:v>00:00—24:00</x:v>
      </x:c>
      <x:c r="N284" s="59" t="n">
        <x:v>0.3</x:v>
      </x:c>
      <x:c r="O284" s="38" t="str">
        <x:v>OSM</x:v>
      </x:c>
      <x:c r="P284" s="38" t="str">
        <x:v>原始社区数据表</x:v>
      </x:c>
      <x:c r="Q284" s="2"/>
      <x:c r="R284" s="2"/>
      <x:c r="S284" s="2"/>
      <x:c r="T284" s="2"/>
      <x:c r="U284" s="2"/>
      <x:c r="V284" s="2"/>
    </x:row>
    <x:row r="285" ht="34" customHeight="1">
      <x:c r="A285" s="38" t="str">
        <x:v>C03-E143</x:v>
      </x:c>
      <x:c r="B285" s="38" t="str">
        <x:v>C03</x:v>
      </x:c>
      <x:c r="C285" s="38" t="str">
        <x:v>C03-R187</x:v>
      </x:c>
      <x:c r="D285" s="38" t="str">
        <x:v>C03-R188</x:v>
      </x:c>
      <x:c r="E285" s="55" t="n">
        <x:v>5.5</x:v>
      </x:c>
      <x:c r="F285" s="38" t="str">
        <x:v>否</x:v>
      </x:c>
      <x:c r="G285" s="38" t="str">
        <x:v>是</x:v>
      </x:c>
      <x:c r="H285" s="49" t="n">
        <x:v>7.5</x:v>
      </x:c>
      <x:c r="I285" s="49" t="n">
        <x:v>0.3</x:v>
      </x:c>
      <x:c r="J285" s="49" t="str">
        <x:v>无（缘石高差，路侧停车待核）</x:v>
      </x:c>
      <x:c r="K285" s="49" t="n">
        <x:v>3.33</x:v>
      </x:c>
      <x:c r="L285" s="58" t="n">
        <x:f>IF(OR(E285="",K285="",K285=0),"n.a.",E285/K285)</x:f>
        <x:v>1.6516516516516515</x:v>
      </x:c>
      <x:c r="M285" s="38" t="str">
        <x:v>00:00—24:00</x:v>
      </x:c>
      <x:c r="N285" s="59" t="n">
        <x:v>0.3</x:v>
      </x:c>
      <x:c r="O285" s="38" t="str">
        <x:v>OSM</x:v>
      </x:c>
      <x:c r="P285" s="38" t="str">
        <x:v>原始社区数据表</x:v>
      </x:c>
      <x:c r="Q285" s="2"/>
      <x:c r="R285" s="2"/>
      <x:c r="S285" s="2"/>
      <x:c r="T285" s="2"/>
      <x:c r="U285" s="2"/>
      <x:c r="V285" s="2"/>
    </x:row>
    <x:row r="286" ht="34" customHeight="1">
      <x:c r="A286" s="38" t="str">
        <x:v>C03-E144</x:v>
      </x:c>
      <x:c r="B286" s="38" t="str">
        <x:v>C03</x:v>
      </x:c>
      <x:c r="C286" s="38" t="str">
        <x:v>C03-R188</x:v>
      </x:c>
      <x:c r="D286" s="38" t="str">
        <x:v>C03-R189</x:v>
      </x:c>
      <x:c r="E286" s="55" t="n">
        <x:v>46.9</x:v>
      </x:c>
      <x:c r="F286" s="38" t="str">
        <x:v>否</x:v>
      </x:c>
      <x:c r="G286" s="38" t="str">
        <x:v>是</x:v>
      </x:c>
      <x:c r="H286" s="49" t="n">
        <x:v>7.5</x:v>
      </x:c>
      <x:c r="I286" s="49" t="n">
        <x:v>0.3</x:v>
      </x:c>
      <x:c r="J286" s="49" t="str">
        <x:v>无（缘石高差，路侧停车待核）</x:v>
      </x:c>
      <x:c r="K286" s="49" t="n">
        <x:v>3.33</x:v>
      </x:c>
      <x:c r="L286" s="58" t="n">
        <x:f>IF(OR(E286="",K286="",K286=0),"n.a.",E286/K286)</x:f>
        <x:v>14.084084084084083</x:v>
      </x:c>
      <x:c r="M286" s="38" t="str">
        <x:v>00:00—24:00</x:v>
      </x:c>
      <x:c r="N286" s="59" t="n">
        <x:v>0.3</x:v>
      </x:c>
      <x:c r="O286" s="38" t="str">
        <x:v>OSM</x:v>
      </x:c>
      <x:c r="P286" s="38" t="str">
        <x:v>原始社区数据表</x:v>
      </x:c>
      <x:c r="Q286" s="2"/>
      <x:c r="R286" s="2"/>
      <x:c r="S286" s="2"/>
      <x:c r="T286" s="2"/>
      <x:c r="U286" s="2"/>
      <x:c r="V286" s="2"/>
    </x:row>
    <x:row r="287" ht="34" customHeight="1">
      <x:c r="A287" s="38" t="str">
        <x:v>C03-E145</x:v>
      </x:c>
      <x:c r="B287" s="38" t="str">
        <x:v>C03</x:v>
      </x:c>
      <x:c r="C287" s="38" t="str">
        <x:v>C03-R189</x:v>
      </x:c>
      <x:c r="D287" s="38" t="str">
        <x:v>C03-R190</x:v>
      </x:c>
      <x:c r="E287" s="55" t="n">
        <x:v>181.6</x:v>
      </x:c>
      <x:c r="F287" s="38" t="str">
        <x:v>否</x:v>
      </x:c>
      <x:c r="G287" s="38" t="str">
        <x:v>是</x:v>
      </x:c>
      <x:c r="H287" s="49" t="n">
        <x:v>7.5</x:v>
      </x:c>
      <x:c r="I287" s="49" t="n">
        <x:v>0.3</x:v>
      </x:c>
      <x:c r="J287" s="49" t="str">
        <x:v>无（缘石高差，路侧停车待核）</x:v>
      </x:c>
      <x:c r="K287" s="49" t="n">
        <x:v>3.33</x:v>
      </x:c>
      <x:c r="L287" s="58" t="n">
        <x:f>IF(OR(E287="",K287="",K287=0),"n.a.",E287/K287)</x:f>
        <x:v>54.53453453453453</x:v>
      </x:c>
      <x:c r="M287" s="38" t="str">
        <x:v>00:00—24:00</x:v>
      </x:c>
      <x:c r="N287" s="59" t="n">
        <x:v>0.3</x:v>
      </x:c>
      <x:c r="O287" s="38" t="str">
        <x:v>OSM</x:v>
      </x:c>
      <x:c r="P287" s="38" t="str">
        <x:v>原始社区数据表</x:v>
      </x:c>
      <x:c r="Q287" s="2"/>
      <x:c r="R287" s="2"/>
      <x:c r="S287" s="2"/>
      <x:c r="T287" s="2"/>
      <x:c r="U287" s="2"/>
      <x:c r="V287" s="2"/>
    </x:row>
    <x:row r="288" ht="34" customHeight="1">
      <x:c r="A288" s="38" t="str">
        <x:v>C03-E146</x:v>
      </x:c>
      <x:c r="B288" s="38" t="str">
        <x:v>C03</x:v>
      </x:c>
      <x:c r="C288" s="38" t="str">
        <x:v>C03-R048</x:v>
      </x:c>
      <x:c r="D288" s="38" t="str">
        <x:v>C03-R191</x:v>
      </x:c>
      <x:c r="E288" s="55" t="n">
        <x:v>80.6</x:v>
      </x:c>
      <x:c r="F288" s="38" t="str">
        <x:v>否</x:v>
      </x:c>
      <x:c r="G288" s="38" t="str">
        <x:v>是</x:v>
      </x:c>
      <x:c r="H288" s="49" t="n">
        <x:v>7.5</x:v>
      </x:c>
      <x:c r="I288" s="49" t="n">
        <x:v>0.3</x:v>
      </x:c>
      <x:c r="J288" s="49" t="str">
        <x:v>无（缘石高差，路侧停车待核）</x:v>
      </x:c>
      <x:c r="K288" s="49" t="n">
        <x:v>3.33</x:v>
      </x:c>
      <x:c r="L288" s="58" t="n">
        <x:f>IF(OR(E288="",K288="",K288=0),"n.a.",E288/K288)</x:f>
        <x:v>24.204204204204203</x:v>
      </x:c>
      <x:c r="M288" s="38" t="str">
        <x:v>00:00—24:00</x:v>
      </x:c>
      <x:c r="N288" s="59" t="n">
        <x:v>0.3</x:v>
      </x:c>
      <x:c r="O288" s="38" t="str">
        <x:v>OSM</x:v>
      </x:c>
      <x:c r="P288" s="38" t="str">
        <x:v>原始社区数据表</x:v>
      </x:c>
      <x:c r="Q288" s="2"/>
      <x:c r="R288" s="2"/>
      <x:c r="S288" s="2"/>
      <x:c r="T288" s="2"/>
      <x:c r="U288" s="2"/>
      <x:c r="V288" s="2"/>
    </x:row>
    <x:row r="289" ht="34" customHeight="1">
      <x:c r="A289" s="38" t="str">
        <x:v>C03-E147</x:v>
      </x:c>
      <x:c r="B289" s="38" t="str">
        <x:v>C03</x:v>
      </x:c>
      <x:c r="C289" s="38" t="str">
        <x:v>C03-R191</x:v>
      </x:c>
      <x:c r="D289" s="38" t="str">
        <x:v>C03-R057</x:v>
      </x:c>
      <x:c r="E289" s="55" t="n">
        <x:v>68</x:v>
      </x:c>
      <x:c r="F289" s="38" t="str">
        <x:v>否</x:v>
      </x:c>
      <x:c r="G289" s="38" t="str">
        <x:v>是</x:v>
      </x:c>
      <x:c r="H289" s="49" t="n">
        <x:v>7.5</x:v>
      </x:c>
      <x:c r="I289" s="49" t="n">
        <x:v>0.3</x:v>
      </x:c>
      <x:c r="J289" s="49" t="str">
        <x:v>无（缘石高差，路侧停车待核）</x:v>
      </x:c>
      <x:c r="K289" s="49" t="n">
        <x:v>3.33</x:v>
      </x:c>
      <x:c r="L289" s="58" t="n">
        <x:f>IF(OR(E289="",K289="",K289=0),"n.a.",E289/K289)</x:f>
        <x:v>20.42042042042042</x:v>
      </x:c>
      <x:c r="M289" s="38" t="str">
        <x:v>00:00—24:00</x:v>
      </x:c>
      <x:c r="N289" s="59" t="n">
        <x:v>0.3</x:v>
      </x:c>
      <x:c r="O289" s="38" t="str">
        <x:v>OSM</x:v>
      </x:c>
      <x:c r="P289" s="38" t="str">
        <x:v>原始社区数据表</x:v>
      </x:c>
      <x:c r="Q289" s="2"/>
      <x:c r="R289" s="2"/>
      <x:c r="S289" s="2"/>
      <x:c r="T289" s="2"/>
      <x:c r="U289" s="2"/>
      <x:c r="V289" s="2"/>
    </x:row>
    <x:row r="290" ht="34" customHeight="1">
      <x:c r="A290" s="38" t="str">
        <x:v>C03-E148</x:v>
      </x:c>
      <x:c r="B290" s="38" t="str">
        <x:v>C03</x:v>
      </x:c>
      <x:c r="C290" s="38" t="str">
        <x:v>C03-R057</x:v>
      </x:c>
      <x:c r="D290" s="38" t="str">
        <x:v>C03-R143</x:v>
      </x:c>
      <x:c r="E290" s="55" t="n">
        <x:v>128.2</x:v>
      </x:c>
      <x:c r="F290" s="38" t="str">
        <x:v>否</x:v>
      </x:c>
      <x:c r="G290" s="38" t="str">
        <x:v>是</x:v>
      </x:c>
      <x:c r="H290" s="49" t="n">
        <x:v>7.5</x:v>
      </x:c>
      <x:c r="I290" s="49" t="n">
        <x:v>0.3</x:v>
      </x:c>
      <x:c r="J290" s="49" t="str">
        <x:v>无（缘石高差，路侧停车待核）</x:v>
      </x:c>
      <x:c r="K290" s="49" t="n">
        <x:v>3.33</x:v>
      </x:c>
      <x:c r="L290" s="58" t="n">
        <x:f>IF(OR(E290="",K290="",K290=0),"n.a.",E290/K290)</x:f>
        <x:v>38.49849849849849</x:v>
      </x:c>
      <x:c r="M290" s="38" t="str">
        <x:v>00:00—24:00</x:v>
      </x:c>
      <x:c r="N290" s="59" t="n">
        <x:v>0.3</x:v>
      </x:c>
      <x:c r="O290" s="38" t="str">
        <x:v>OSM</x:v>
      </x:c>
      <x:c r="P290" s="38" t="str">
        <x:v>原始社区数据表</x:v>
      </x:c>
      <x:c r="Q290" s="2"/>
      <x:c r="R290" s="2"/>
      <x:c r="S290" s="2"/>
      <x:c r="T290" s="2"/>
      <x:c r="U290" s="2"/>
      <x:c r="V290" s="2"/>
    </x:row>
    <x:row r="291" ht="34" customHeight="1">
      <x:c r="A291" s="38" t="str">
        <x:v>C03-E149</x:v>
      </x:c>
      <x:c r="B291" s="38" t="str">
        <x:v>C03</x:v>
      </x:c>
      <x:c r="C291" s="38" t="str">
        <x:v>C03-R016</x:v>
      </x:c>
      <x:c r="D291" s="38" t="str">
        <x:v>C03-R048</x:v>
      </x:c>
      <x:c r="E291" s="55" t="n">
        <x:v>7.3</x:v>
      </x:c>
      <x:c r="F291" s="38" t="str">
        <x:v>是</x:v>
      </x:c>
      <x:c r="G291" s="38" t="str">
        <x:v>是</x:v>
      </x:c>
      <x:c r="H291" s="49" t="n">
        <x:v>7.5</x:v>
      </x:c>
      <x:c r="I291" s="49" t="n">
        <x:v>0.3</x:v>
      </x:c>
      <x:c r="J291" s="49" t="str">
        <x:v>无（缘石高差，路侧停车待核）</x:v>
      </x:c>
      <x:c r="K291" s="49" t="n">
        <x:v>3.33</x:v>
      </x:c>
      <x:c r="L291" s="58" t="n">
        <x:f>IF(OR(E291="",K291="",K291=0),"n.a.",E291/K291)</x:f>
        <x:v>2.1921921921921923</x:v>
      </x:c>
      <x:c r="M291" s="38" t="str">
        <x:v>00:00—24:00</x:v>
      </x:c>
      <x:c r="N291" s="59" t="n">
        <x:v>0.3</x:v>
      </x:c>
      <x:c r="O291" s="38" t="str">
        <x:v>OSM</x:v>
      </x:c>
      <x:c r="P291" s="38" t="str">
        <x:v>原始社区数据表</x:v>
      </x:c>
      <x:c r="Q291" s="2"/>
      <x:c r="R291" s="2"/>
      <x:c r="S291" s="2"/>
      <x:c r="T291" s="2"/>
      <x:c r="U291" s="2"/>
      <x:c r="V291" s="2"/>
    </x:row>
    <x:row r="292" ht="34" customHeight="1">
      <x:c r="A292" s="38" t="str">
        <x:v>C03-E150</x:v>
      </x:c>
      <x:c r="B292" s="38" t="str">
        <x:v>C03</x:v>
      </x:c>
      <x:c r="C292" s="38" t="str">
        <x:v>C03-R035</x:v>
      </x:c>
      <x:c r="D292" s="38" t="str">
        <x:v>C03-R192</x:v>
      </x:c>
      <x:c r="E292" s="55" t="n">
        <x:v>206.1</x:v>
      </x:c>
      <x:c r="F292" s="38" t="str">
        <x:v>否</x:v>
      </x:c>
      <x:c r="G292" s="38" t="str">
        <x:v>是</x:v>
      </x:c>
      <x:c r="H292" s="49" t="n">
        <x:v>7.5</x:v>
      </x:c>
      <x:c r="I292" s="49" t="n">
        <x:v>0.3</x:v>
      </x:c>
      <x:c r="J292" s="49" t="str">
        <x:v>无（缘石高差，路侧停车待核）</x:v>
      </x:c>
      <x:c r="K292" s="49" t="n">
        <x:v>3.33</x:v>
      </x:c>
      <x:c r="L292" s="58" t="n">
        <x:f>IF(OR(E292="",K292="",K292=0),"n.a.",E292/K292)</x:f>
        <x:v>61.89189189189189</x:v>
      </x:c>
      <x:c r="M292" s="38" t="str">
        <x:v>00:00—24:00</x:v>
      </x:c>
      <x:c r="N292" s="59" t="n">
        <x:v>0.3</x:v>
      </x:c>
      <x:c r="O292" s="38" t="str">
        <x:v>OSM</x:v>
      </x:c>
      <x:c r="P292" s="38" t="str">
        <x:v>原始社区数据表</x:v>
      </x:c>
      <x:c r="Q292" s="2"/>
      <x:c r="R292" s="2"/>
      <x:c r="S292" s="2"/>
      <x:c r="T292" s="2"/>
      <x:c r="U292" s="2"/>
      <x:c r="V292" s="2"/>
    </x:row>
    <x:row r="293" ht="34" customHeight="1">
      <x:c r="A293" s="38" t="str">
        <x:v>C03-E151</x:v>
      </x:c>
      <x:c r="B293" s="38" t="str">
        <x:v>C03</x:v>
      </x:c>
      <x:c r="C293" s="38" t="str">
        <x:v>C03-R192</x:v>
      </x:c>
      <x:c r="D293" s="38" t="str">
        <x:v>C03-R193</x:v>
      </x:c>
      <x:c r="E293" s="55" t="n">
        <x:v>63.5</x:v>
      </x:c>
      <x:c r="F293" s="38" t="str">
        <x:v>否</x:v>
      </x:c>
      <x:c r="G293" s="38" t="str">
        <x:v>是</x:v>
      </x:c>
      <x:c r="H293" s="49" t="n">
        <x:v>7.5</x:v>
      </x:c>
      <x:c r="I293" s="49" t="n">
        <x:v>0.3</x:v>
      </x:c>
      <x:c r="J293" s="49" t="str">
        <x:v>无（缘石高差，路侧停车待核）</x:v>
      </x:c>
      <x:c r="K293" s="49" t="n">
        <x:v>3.33</x:v>
      </x:c>
      <x:c r="L293" s="58" t="n">
        <x:f>IF(OR(E293="",K293="",K293=0),"n.a.",E293/K293)</x:f>
        <x:v>19.06906906906907</x:v>
      </x:c>
      <x:c r="M293" s="38" t="str">
        <x:v>00:00—24:00</x:v>
      </x:c>
      <x:c r="N293" s="59" t="n">
        <x:v>0.3</x:v>
      </x:c>
      <x:c r="O293" s="38" t="str">
        <x:v>OSM</x:v>
      </x:c>
      <x:c r="P293" s="38" t="str">
        <x:v>原始社区数据表</x:v>
      </x:c>
      <x:c r="Q293" s="2"/>
      <x:c r="R293" s="2"/>
      <x:c r="S293" s="2"/>
      <x:c r="T293" s="2"/>
      <x:c r="U293" s="2"/>
      <x:c r="V293" s="2"/>
    </x:row>
    <x:row r="294" ht="34" customHeight="1">
      <x:c r="A294" s="38" t="str">
        <x:v>C03-E152</x:v>
      </x:c>
      <x:c r="B294" s="38" t="str">
        <x:v>C03</x:v>
      </x:c>
      <x:c r="C294" s="38" t="str">
        <x:v>C03-R193</x:v>
      </x:c>
      <x:c r="D294" s="38" t="str">
        <x:v>C03-R148</x:v>
      </x:c>
      <x:c r="E294" s="55" t="n">
        <x:v>111.3</x:v>
      </x:c>
      <x:c r="F294" s="38" t="str">
        <x:v>否</x:v>
      </x:c>
      <x:c r="G294" s="38" t="str">
        <x:v>是</x:v>
      </x:c>
      <x:c r="H294" s="49" t="n">
        <x:v>7.5</x:v>
      </x:c>
      <x:c r="I294" s="49" t="n">
        <x:v>0.3</x:v>
      </x:c>
      <x:c r="J294" s="49" t="str">
        <x:v>无（缘石高差，路侧停车待核）</x:v>
      </x:c>
      <x:c r="K294" s="49" t="n">
        <x:v>3.33</x:v>
      </x:c>
      <x:c r="L294" s="58" t="n">
        <x:f>IF(OR(E294="",K294="",K294=0),"n.a.",E294/K294)</x:f>
        <x:v>33.42342342342342</x:v>
      </x:c>
      <x:c r="M294" s="38" t="str">
        <x:v>00:00—24:00</x:v>
      </x:c>
      <x:c r="N294" s="59" t="n">
        <x:v>0.3</x:v>
      </x:c>
      <x:c r="O294" s="38" t="str">
        <x:v>OSM</x:v>
      </x:c>
      <x:c r="P294" s="38" t="str">
        <x:v>原始社区数据表</x:v>
      </x:c>
      <x:c r="Q294" s="2"/>
      <x:c r="R294" s="2"/>
      <x:c r="S294" s="2"/>
      <x:c r="T294" s="2"/>
      <x:c r="U294" s="2"/>
      <x:c r="V294" s="2"/>
    </x:row>
    <x:row r="295" ht="34" customHeight="1">
      <x:c r="A295" s="38" t="str">
        <x:v>C03-E153</x:v>
      </x:c>
      <x:c r="B295" s="38" t="str">
        <x:v>C03</x:v>
      </x:c>
      <x:c r="C295" s="38" t="str">
        <x:v>C03-R034</x:v>
      </x:c>
      <x:c r="D295" s="38" t="str">
        <x:v>C03-R148</x:v>
      </x:c>
      <x:c r="E295" s="55" t="n">
        <x:v>8</x:v>
      </x:c>
      <x:c r="F295" s="38" t="str">
        <x:v>否</x:v>
      </x:c>
      <x:c r="G295" s="38" t="str">
        <x:v>是</x:v>
      </x:c>
      <x:c r="H295" s="49" t="n">
        <x:v>7.5</x:v>
      </x:c>
      <x:c r="I295" s="49" t="n">
        <x:v>0.3</x:v>
      </x:c>
      <x:c r="J295" s="49" t="str">
        <x:v>无（缘石高差，路侧停车待核）</x:v>
      </x:c>
      <x:c r="K295" s="49" t="n">
        <x:v>3.33</x:v>
      </x:c>
      <x:c r="L295" s="58" t="n">
        <x:f>IF(OR(E295="",K295="",K295=0),"n.a.",E295/K295)</x:f>
        <x:v>2.4024024024024024</x:v>
      </x:c>
      <x:c r="M295" s="38" t="str">
        <x:v>00:00—24:00</x:v>
      </x:c>
      <x:c r="N295" s="59" t="n">
        <x:v>0.3</x:v>
      </x:c>
      <x:c r="O295" s="38" t="str">
        <x:v>OSM</x:v>
      </x:c>
      <x:c r="P295" s="38" t="str">
        <x:v>原始社区数据表</x:v>
      </x:c>
      <x:c r="Q295" s="2"/>
      <x:c r="R295" s="2"/>
      <x:c r="S295" s="2"/>
      <x:c r="T295" s="2"/>
      <x:c r="U295" s="2"/>
      <x:c r="V295" s="2"/>
    </x:row>
    <x:row r="296" ht="34" customHeight="1">
      <x:c r="A296" s="38" t="str">
        <x:v>C03-E154</x:v>
      </x:c>
      <x:c r="B296" s="38" t="str">
        <x:v>C03</x:v>
      </x:c>
      <x:c r="C296" s="38" t="str">
        <x:v>C03-R157</x:v>
      </x:c>
      <x:c r="D296" s="38" t="str">
        <x:v>C03-R178</x:v>
      </x:c>
      <x:c r="E296" s="55" t="n">
        <x:v>89.8</x:v>
      </x:c>
      <x:c r="F296" s="38" t="str">
        <x:v>否</x:v>
      </x:c>
      <x:c r="G296" s="38" t="str">
        <x:v>是</x:v>
      </x:c>
      <x:c r="H296" s="49" t="n">
        <x:v>7.5</x:v>
      </x:c>
      <x:c r="I296" s="49" t="n">
        <x:v>0.3</x:v>
      </x:c>
      <x:c r="J296" s="49" t="str">
        <x:v>无（缘石高差，路侧停车待核）</x:v>
      </x:c>
      <x:c r="K296" s="49" t="n">
        <x:v>3.33</x:v>
      </x:c>
      <x:c r="L296" s="58" t="n">
        <x:f>IF(OR(E296="",K296="",K296=0),"n.a.",E296/K296)</x:f>
        <x:v>26.966966966966964</x:v>
      </x:c>
      <x:c r="M296" s="38" t="str">
        <x:v>00:00—24:00</x:v>
      </x:c>
      <x:c r="N296" s="59" t="n">
        <x:v>0.3</x:v>
      </x:c>
      <x:c r="O296" s="38" t="str">
        <x:v>OSM</x:v>
      </x:c>
      <x:c r="P296" s="38" t="str">
        <x:v>原始社区数据表</x:v>
      </x:c>
      <x:c r="Q296" s="2"/>
      <x:c r="R296" s="2"/>
      <x:c r="S296" s="2"/>
      <x:c r="T296" s="2"/>
      <x:c r="U296" s="2"/>
      <x:c r="V296" s="2"/>
    </x:row>
    <x:row r="297" ht="34" customHeight="1">
      <x:c r="A297" s="38" t="str">
        <x:v>C03-E155</x:v>
      </x:c>
      <x:c r="B297" s="38" t="str">
        <x:v>C03</x:v>
      </x:c>
      <x:c r="C297" s="38" t="str">
        <x:v>C03-R178</x:v>
      </x:c>
      <x:c r="D297" s="38" t="str">
        <x:v>C03-R194</x:v>
      </x:c>
      <x:c r="E297" s="55" t="n">
        <x:v>74.5</x:v>
      </x:c>
      <x:c r="F297" s="38" t="str">
        <x:v>否</x:v>
      </x:c>
      <x:c r="G297" s="38" t="str">
        <x:v>是</x:v>
      </x:c>
      <x:c r="H297" s="49" t="n">
        <x:v>7.5</x:v>
      </x:c>
      <x:c r="I297" s="49" t="n">
        <x:v>0.3</x:v>
      </x:c>
      <x:c r="J297" s="49" t="str">
        <x:v>无（缘石高差，路侧停车待核）</x:v>
      </x:c>
      <x:c r="K297" s="49" t="n">
        <x:v>3.33</x:v>
      </x:c>
      <x:c r="L297" s="58" t="n">
        <x:f>IF(OR(E297="",K297="",K297=0),"n.a.",E297/K297)</x:f>
        <x:v>22.37237237237237</x:v>
      </x:c>
      <x:c r="M297" s="38" t="str">
        <x:v>00:00—24:00</x:v>
      </x:c>
      <x:c r="N297" s="59" t="n">
        <x:v>0.3</x:v>
      </x:c>
      <x:c r="O297" s="38" t="str">
        <x:v>OSM</x:v>
      </x:c>
      <x:c r="P297" s="38" t="str">
        <x:v>原始社区数据表</x:v>
      </x:c>
      <x:c r="Q297" s="2"/>
      <x:c r="R297" s="2"/>
      <x:c r="S297" s="2"/>
      <x:c r="T297" s="2"/>
      <x:c r="U297" s="2"/>
      <x:c r="V297" s="2"/>
    </x:row>
    <x:row r="298" ht="34" customHeight="1">
      <x:c r="A298" s="38" t="str">
        <x:v>C03-E156</x:v>
      </x:c>
      <x:c r="B298" s="38" t="str">
        <x:v>C03</x:v>
      </x:c>
      <x:c r="C298" s="38" t="str">
        <x:v>C03-R194</x:v>
      </x:c>
      <x:c r="D298" s="38" t="str">
        <x:v>C03-R195</x:v>
      </x:c>
      <x:c r="E298" s="55" t="n">
        <x:v>143.5</x:v>
      </x:c>
      <x:c r="F298" s="38" t="str">
        <x:v>否</x:v>
      </x:c>
      <x:c r="G298" s="38" t="str">
        <x:v>是</x:v>
      </x:c>
      <x:c r="H298" s="49" t="n">
        <x:v>7.5</x:v>
      </x:c>
      <x:c r="I298" s="49" t="n">
        <x:v>0.3</x:v>
      </x:c>
      <x:c r="J298" s="49" t="str">
        <x:v>无（缘石高差，路侧停车待核）</x:v>
      </x:c>
      <x:c r="K298" s="49" t="n">
        <x:v>3.33</x:v>
      </x:c>
      <x:c r="L298" s="58" t="n">
        <x:f>IF(OR(E298="",K298="",K298=0),"n.a.",E298/K298)</x:f>
        <x:v>43.093093093093096</x:v>
      </x:c>
      <x:c r="M298" s="38" t="str">
        <x:v>00:00—24:00</x:v>
      </x:c>
      <x:c r="N298" s="59" t="n">
        <x:v>0.3</x:v>
      </x:c>
      <x:c r="O298" s="38" t="str">
        <x:v>OSM</x:v>
      </x:c>
      <x:c r="P298" s="38" t="str">
        <x:v>原始社区数据表</x:v>
      </x:c>
      <x:c r="Q298" s="2"/>
      <x:c r="R298" s="2"/>
      <x:c r="S298" s="2"/>
      <x:c r="T298" s="2"/>
      <x:c r="U298" s="2"/>
      <x:c r="V298" s="2"/>
    </x:row>
    <x:row r="299" ht="34" customHeight="1">
      <x:c r="A299" s="38" t="str">
        <x:v>C03-E157</x:v>
      </x:c>
      <x:c r="B299" s="38" t="str">
        <x:v>C03</x:v>
      </x:c>
      <x:c r="C299" s="38" t="str">
        <x:v>C03-R008</x:v>
      </x:c>
      <x:c r="D299" s="38" t="str">
        <x:v>C03-R012</x:v>
      </x:c>
      <x:c r="E299" s="55" t="n">
        <x:v>8.3</x:v>
      </x:c>
      <x:c r="F299" s="38" t="str">
        <x:v>否</x:v>
      </x:c>
      <x:c r="G299" s="38" t="str">
        <x:v>是</x:v>
      </x:c>
      <x:c r="H299" s="49" t="n">
        <x:v>12</x:v>
      </x:c>
      <x:c r="I299" s="49" t="n">
        <x:v>0.3</x:v>
      </x:c>
      <x:c r="J299" s="49" t="str">
        <x:v>无（缘石高差，路侧停车待核）</x:v>
      </x:c>
      <x:c r="K299" s="49" t="n">
        <x:v>3.33</x:v>
      </x:c>
      <x:c r="L299" s="58" t="n">
        <x:f>IF(OR(E299="",K299="",K299=0),"n.a.",E299/K299)</x:f>
        <x:v>2.4924924924924925</x:v>
      </x:c>
      <x:c r="M299" s="38" t="str">
        <x:v>00:00—24:00</x:v>
      </x:c>
      <x:c r="N299" s="59" t="n">
        <x:v>0.3</x:v>
      </x:c>
      <x:c r="O299" s="38" t="str">
        <x:v>OSM</x:v>
      </x:c>
      <x:c r="P299" s="38" t="str">
        <x:v>原始社区数据表</x:v>
      </x:c>
      <x:c r="Q299" s="2"/>
      <x:c r="R299" s="2"/>
      <x:c r="S299" s="2"/>
      <x:c r="T299" s="2"/>
      <x:c r="U299" s="2"/>
      <x:c r="V299" s="2"/>
    </x:row>
    <x:row r="300" ht="34" customHeight="1">
      <x:c r="A300" s="38" t="str">
        <x:v>C03-E158</x:v>
      </x:c>
      <x:c r="B300" s="38" t="str">
        <x:v>C03</x:v>
      </x:c>
      <x:c r="C300" s="38" t="str">
        <x:v>C03-R143</x:v>
      </x:c>
      <x:c r="D300" s="38" t="str">
        <x:v>C03-R009</x:v>
      </x:c>
      <x:c r="E300" s="55" t="n">
        <x:v>14.8</x:v>
      </x:c>
      <x:c r="F300" s="38" t="str">
        <x:v>否</x:v>
      </x:c>
      <x:c r="G300" s="38" t="str">
        <x:v>是</x:v>
      </x:c>
      <x:c r="H300" s="49" t="n">
        <x:v>7.5</x:v>
      </x:c>
      <x:c r="I300" s="49" t="n">
        <x:v>0.3</x:v>
      </x:c>
      <x:c r="J300" s="49" t="str">
        <x:v>无（缘石高差，路侧停车待核）</x:v>
      </x:c>
      <x:c r="K300" s="49" t="n">
        <x:v>3.33</x:v>
      </x:c>
      <x:c r="L300" s="58" t="n">
        <x:f>IF(OR(E300="",K300="",K300=0),"n.a.",E300/K300)</x:f>
        <x:v>4.444444444444445</x:v>
      </x:c>
      <x:c r="M300" s="38" t="str">
        <x:v>00:00—24:00</x:v>
      </x:c>
      <x:c r="N300" s="59" t="n">
        <x:v>0.3</x:v>
      </x:c>
      <x:c r="O300" s="38" t="str">
        <x:v>OSM</x:v>
      </x:c>
      <x:c r="P300" s="38" t="str">
        <x:v>原始社区数据表</x:v>
      </x:c>
      <x:c r="Q300" s="2"/>
      <x:c r="R300" s="2"/>
      <x:c r="S300" s="2"/>
      <x:c r="T300" s="2"/>
      <x:c r="U300" s="2"/>
      <x:c r="V300" s="2"/>
    </x:row>
    <x:row r="301" ht="34" customHeight="1">
      <x:c r="A301" s="38" t="str">
        <x:v>C03-E159</x:v>
      </x:c>
      <x:c r="B301" s="38" t="str">
        <x:v>C03</x:v>
      </x:c>
      <x:c r="C301" s="38" t="str">
        <x:v>C03-R143</x:v>
      </x:c>
      <x:c r="D301" s="38" t="str">
        <x:v>C03-R105</x:v>
      </x:c>
      <x:c r="E301" s="55" t="n">
        <x:v>315.2</x:v>
      </x:c>
      <x:c r="F301" s="38" t="str">
        <x:v>否</x:v>
      </x:c>
      <x:c r="G301" s="38" t="str">
        <x:v>是</x:v>
      </x:c>
      <x:c r="H301" s="49" t="n">
        <x:v>7.5</x:v>
      </x:c>
      <x:c r="I301" s="49" t="n">
        <x:v>0.3</x:v>
      </x:c>
      <x:c r="J301" s="49" t="str">
        <x:v>无（缘石高差，路侧停车待核）</x:v>
      </x:c>
      <x:c r="K301" s="49" t="n">
        <x:v>3.33</x:v>
      </x:c>
      <x:c r="L301" s="58" t="n">
        <x:f>IF(OR(E301="",K301="",K301=0),"n.a.",E301/K301)</x:f>
        <x:v>94.65465465465465</x:v>
      </x:c>
      <x:c r="M301" s="38" t="str">
        <x:v>00:00—24:00</x:v>
      </x:c>
      <x:c r="N301" s="59" t="n">
        <x:v>0.3</x:v>
      </x:c>
      <x:c r="O301" s="38" t="str">
        <x:v>OSM</x:v>
      </x:c>
      <x:c r="P301" s="38" t="str">
        <x:v>原始社区数据表</x:v>
      </x:c>
      <x:c r="Q301" s="2"/>
      <x:c r="R301" s="2"/>
      <x:c r="S301" s="2"/>
      <x:c r="T301" s="2"/>
      <x:c r="U301" s="2"/>
      <x:c r="V301" s="2"/>
    </x:row>
    <x:row r="302" ht="34" customHeight="1">
      <x:c r="A302" s="38" t="str">
        <x:v>C03-E160</x:v>
      </x:c>
      <x:c r="B302" s="38" t="str">
        <x:v>C03</x:v>
      </x:c>
      <x:c r="C302" s="38" t="str">
        <x:v>C03-R105</x:v>
      </x:c>
      <x:c r="D302" s="38" t="str">
        <x:v>C03-R047</x:v>
      </x:c>
      <x:c r="E302" s="55" t="n">
        <x:v>104.4</x:v>
      </x:c>
      <x:c r="F302" s="38" t="str">
        <x:v>否</x:v>
      </x:c>
      <x:c r="G302" s="38" t="str">
        <x:v>是</x:v>
      </x:c>
      <x:c r="H302" s="49" t="n">
        <x:v>7.5</x:v>
      </x:c>
      <x:c r="I302" s="49" t="n">
        <x:v>0.3</x:v>
      </x:c>
      <x:c r="J302" s="49" t="str">
        <x:v>无（缘石高差，路侧停车待核）</x:v>
      </x:c>
      <x:c r="K302" s="49" t="n">
        <x:v>3.33</x:v>
      </x:c>
      <x:c r="L302" s="58" t="n">
        <x:f>IF(OR(E302="",K302="",K302=0),"n.a.",E302/K302)</x:f>
        <x:v>31.35135135135135</x:v>
      </x:c>
      <x:c r="M302" s="38" t="str">
        <x:v>00:00—24:00</x:v>
      </x:c>
      <x:c r="N302" s="59" t="n">
        <x:v>0.3</x:v>
      </x:c>
      <x:c r="O302" s="38" t="str">
        <x:v>OSM</x:v>
      </x:c>
      <x:c r="P302" s="38" t="str">
        <x:v>原始社区数据表</x:v>
      </x:c>
      <x:c r="Q302" s="2"/>
      <x:c r="R302" s="2"/>
      <x:c r="S302" s="2"/>
      <x:c r="T302" s="2"/>
      <x:c r="U302" s="2"/>
      <x:c r="V302" s="2"/>
    </x:row>
    <x:row r="303" ht="34" customHeight="1">
      <x:c r="A303" s="38" t="str">
        <x:v>C03-E161</x:v>
      </x:c>
      <x:c r="B303" s="38" t="str">
        <x:v>C03</x:v>
      </x:c>
      <x:c r="C303" s="38" t="str">
        <x:v>C03-R159</x:v>
      </x:c>
      <x:c r="D303" s="38" t="str">
        <x:v>C03-R198</x:v>
      </x:c>
      <x:c r="E303" s="55" t="n">
        <x:v>138.7</x:v>
      </x:c>
      <x:c r="F303" s="38" t="str">
        <x:v>否</x:v>
      </x:c>
      <x:c r="G303" s="38" t="str">
        <x:v>是</x:v>
      </x:c>
      <x:c r="H303" s="49" t="n">
        <x:v>7.5</x:v>
      </x:c>
      <x:c r="I303" s="49" t="n">
        <x:v>0.3</x:v>
      </x:c>
      <x:c r="J303" s="49" t="str">
        <x:v>无（缘石高差，路侧停车待核）</x:v>
      </x:c>
      <x:c r="K303" s="49" t="n">
        <x:v>3.33</x:v>
      </x:c>
      <x:c r="L303" s="58" t="n">
        <x:f>IF(OR(E303="",K303="",K303=0),"n.a.",E303/K303)</x:f>
        <x:v>41.65165165165165</x:v>
      </x:c>
      <x:c r="M303" s="38" t="str">
        <x:v>00:00—24:00</x:v>
      </x:c>
      <x:c r="N303" s="59" t="n">
        <x:v>0.3</x:v>
      </x:c>
      <x:c r="O303" s="38" t="str">
        <x:v>OSM</x:v>
      </x:c>
      <x:c r="P303" s="38" t="str">
        <x:v>原始社区数据表</x:v>
      </x:c>
      <x:c r="Q303" s="2"/>
      <x:c r="R303" s="2"/>
      <x:c r="S303" s="2"/>
      <x:c r="T303" s="2"/>
      <x:c r="U303" s="2"/>
      <x:c r="V303" s="2"/>
    </x:row>
    <x:row r="304" ht="34" customHeight="1">
      <x:c r="A304" s="38" t="str">
        <x:v>C03-E162</x:v>
      </x:c>
      <x:c r="B304" s="38" t="str">
        <x:v>C03</x:v>
      </x:c>
      <x:c r="C304" s="38" t="str">
        <x:v>C03-R198</x:v>
      </x:c>
      <x:c r="D304" s="38" t="str">
        <x:v>C03-R199</x:v>
      </x:c>
      <x:c r="E304" s="55" t="n">
        <x:v>10.8</x:v>
      </x:c>
      <x:c r="F304" s="38" t="str">
        <x:v>否</x:v>
      </x:c>
      <x:c r="G304" s="38" t="str">
        <x:v>是</x:v>
      </x:c>
      <x:c r="H304" s="49" t="n">
        <x:v>7.5</x:v>
      </x:c>
      <x:c r="I304" s="49" t="n">
        <x:v>0.3</x:v>
      </x:c>
      <x:c r="J304" s="49" t="str">
        <x:v>无（缘石高差，路侧停车待核）</x:v>
      </x:c>
      <x:c r="K304" s="49" t="n">
        <x:v>3.33</x:v>
      </x:c>
      <x:c r="L304" s="58" t="n">
        <x:f>IF(OR(E304="",K304="",K304=0),"n.a.",E304/K304)</x:f>
        <x:v>3.2432432432432434</x:v>
      </x:c>
      <x:c r="M304" s="38" t="str">
        <x:v>00:00—24:00</x:v>
      </x:c>
      <x:c r="N304" s="59" t="n">
        <x:v>0.3</x:v>
      </x:c>
      <x:c r="O304" s="38" t="str">
        <x:v>OSM</x:v>
      </x:c>
      <x:c r="P304" s="38" t="str">
        <x:v>原始社区数据表</x:v>
      </x:c>
      <x:c r="Q304" s="2"/>
      <x:c r="R304" s="2"/>
      <x:c r="S304" s="2"/>
      <x:c r="T304" s="2"/>
      <x:c r="U304" s="2"/>
      <x:c r="V304" s="2"/>
    </x:row>
    <x:row r="305" ht="34" customHeight="1">
      <x:c r="A305" s="38" t="str">
        <x:v>C03-E163</x:v>
      </x:c>
      <x:c r="B305" s="38" t="str">
        <x:v>C03</x:v>
      </x:c>
      <x:c r="C305" s="38" t="str">
        <x:v>C03-R199</x:v>
      </x:c>
      <x:c r="D305" s="38" t="str">
        <x:v>C03-R200</x:v>
      </x:c>
      <x:c r="E305" s="55" t="n">
        <x:v>61.8</x:v>
      </x:c>
      <x:c r="F305" s="38" t="str">
        <x:v>否</x:v>
      </x:c>
      <x:c r="G305" s="38" t="str">
        <x:v>是</x:v>
      </x:c>
      <x:c r="H305" s="49" t="n">
        <x:v>7.5</x:v>
      </x:c>
      <x:c r="I305" s="49" t="n">
        <x:v>0.3</x:v>
      </x:c>
      <x:c r="J305" s="49" t="str">
        <x:v>无（缘石高差，路侧停车待核）</x:v>
      </x:c>
      <x:c r="K305" s="49" t="n">
        <x:v>3.33</x:v>
      </x:c>
      <x:c r="L305" s="58" t="n">
        <x:f>IF(OR(E305="",K305="",K305=0),"n.a.",E305/K305)</x:f>
        <x:v>18.55855855855856</x:v>
      </x:c>
      <x:c r="M305" s="38" t="str">
        <x:v>00:00—24:00</x:v>
      </x:c>
      <x:c r="N305" s="59" t="n">
        <x:v>0.3</x:v>
      </x:c>
      <x:c r="O305" s="38" t="str">
        <x:v>OSM</x:v>
      </x:c>
      <x:c r="P305" s="38" t="str">
        <x:v>原始社区数据表</x:v>
      </x:c>
      <x:c r="Q305" s="2"/>
      <x:c r="R305" s="2"/>
      <x:c r="S305" s="2"/>
      <x:c r="T305" s="2"/>
      <x:c r="U305" s="2"/>
      <x:c r="V305" s="2"/>
    </x:row>
    <x:row r="306" ht="34" customHeight="1">
      <x:c r="A306" s="38" t="str">
        <x:v>C03-E164</x:v>
      </x:c>
      <x:c r="B306" s="38" t="str">
        <x:v>C03</x:v>
      </x:c>
      <x:c r="C306" s="38" t="str">
        <x:v>C03-R200</x:v>
      </x:c>
      <x:c r="D306" s="38" t="str">
        <x:v>C03-R083</x:v>
      </x:c>
      <x:c r="E306" s="55" t="n">
        <x:v>17.4</x:v>
      </x:c>
      <x:c r="F306" s="38" t="str">
        <x:v>否</x:v>
      </x:c>
      <x:c r="G306" s="38" t="str">
        <x:v>是</x:v>
      </x:c>
      <x:c r="H306" s="49" t="n">
        <x:v>7.5</x:v>
      </x:c>
      <x:c r="I306" s="49" t="n">
        <x:v>0.3</x:v>
      </x:c>
      <x:c r="J306" s="49" t="str">
        <x:v>无（缘石高差，路侧停车待核）</x:v>
      </x:c>
      <x:c r="K306" s="49" t="n">
        <x:v>3.33</x:v>
      </x:c>
      <x:c r="L306" s="58" t="n">
        <x:f>IF(OR(E306="",K306="",K306=0),"n.a.",E306/K306)</x:f>
        <x:v>5.225225225225224</x:v>
      </x:c>
      <x:c r="M306" s="38" t="str">
        <x:v>00:00—24:00</x:v>
      </x:c>
      <x:c r="N306" s="59" t="n">
        <x:v>0.3</x:v>
      </x:c>
      <x:c r="O306" s="38" t="str">
        <x:v>OSM</x:v>
      </x:c>
      <x:c r="P306" s="38" t="str">
        <x:v>原始社区数据表</x:v>
      </x:c>
      <x:c r="Q306" s="2"/>
      <x:c r="R306" s="2"/>
      <x:c r="S306" s="2"/>
      <x:c r="T306" s="2"/>
      <x:c r="U306" s="2"/>
      <x:c r="V306" s="2"/>
    </x:row>
    <x:row r="307" ht="34" customHeight="1">
      <x:c r="A307" s="38" t="str">
        <x:v>C03-E165</x:v>
      </x:c>
      <x:c r="B307" s="38" t="str">
        <x:v>C03</x:v>
      </x:c>
      <x:c r="C307" s="38" t="str">
        <x:v>C03-R043</x:v>
      </x:c>
      <x:c r="D307" s="38" t="str">
        <x:v>C03-R203</x:v>
      </x:c>
      <x:c r="E307" s="55" t="n">
        <x:v>145.8</x:v>
      </x:c>
      <x:c r="F307" s="38" t="str">
        <x:v>否</x:v>
      </x:c>
      <x:c r="G307" s="38" t="str">
        <x:v>是</x:v>
      </x:c>
      <x:c r="H307" s="49" t="n">
        <x:v>7.5</x:v>
      </x:c>
      <x:c r="I307" s="49" t="n">
        <x:v>0.3</x:v>
      </x:c>
      <x:c r="J307" s="49" t="str">
        <x:v>无（缘石高差，路侧停车待核）</x:v>
      </x:c>
      <x:c r="K307" s="49" t="n">
        <x:v>3.33</x:v>
      </x:c>
      <x:c r="L307" s="58" t="n">
        <x:f>IF(OR(E307="",K307="",K307=0),"n.a.",E307/K307)</x:f>
        <x:v>43.78378378378379</x:v>
      </x:c>
      <x:c r="M307" s="38" t="str">
        <x:v>00:00—24:00</x:v>
      </x:c>
      <x:c r="N307" s="59" t="n">
        <x:v>0.3</x:v>
      </x:c>
      <x:c r="O307" s="38" t="str">
        <x:v>OSM</x:v>
      </x:c>
      <x:c r="P307" s="38" t="str">
        <x:v>原始社区数据表</x:v>
      </x:c>
      <x:c r="Q307" s="2"/>
      <x:c r="R307" s="2"/>
      <x:c r="S307" s="2"/>
      <x:c r="T307" s="2"/>
      <x:c r="U307" s="2"/>
      <x:c r="V307" s="2"/>
    </x:row>
    <x:row r="308" ht="34" customHeight="1">
      <x:c r="A308" s="38" t="str">
        <x:v>C03-E166</x:v>
      </x:c>
      <x:c r="B308" s="38" t="str">
        <x:v>C03</x:v>
      </x:c>
      <x:c r="C308" s="38" t="str">
        <x:v>C03-R203</x:v>
      </x:c>
      <x:c r="D308" s="38" t="str">
        <x:v>C03-R051</x:v>
      </x:c>
      <x:c r="E308" s="55" t="n">
        <x:v>29.9</x:v>
      </x:c>
      <x:c r="F308" s="38" t="str">
        <x:v>否</x:v>
      </x:c>
      <x:c r="G308" s="38" t="str">
        <x:v>是</x:v>
      </x:c>
      <x:c r="H308" s="49" t="n">
        <x:v>7.5</x:v>
      </x:c>
      <x:c r="I308" s="49" t="n">
        <x:v>0.3</x:v>
      </x:c>
      <x:c r="J308" s="49" t="str">
        <x:v>无（缘石高差，路侧停车待核）</x:v>
      </x:c>
      <x:c r="K308" s="49" t="n">
        <x:v>3.33</x:v>
      </x:c>
      <x:c r="L308" s="58" t="n">
        <x:f>IF(OR(E308="",K308="",K308=0),"n.a.",E308/K308)</x:f>
        <x:v>8.978978978978978</x:v>
      </x:c>
      <x:c r="M308" s="38" t="str">
        <x:v>00:00—24:00</x:v>
      </x:c>
      <x:c r="N308" s="59" t="n">
        <x:v>0.3</x:v>
      </x:c>
      <x:c r="O308" s="38" t="str">
        <x:v>OSM</x:v>
      </x:c>
      <x:c r="P308" s="38" t="str">
        <x:v>原始社区数据表</x:v>
      </x:c>
      <x:c r="Q308" s="2"/>
      <x:c r="R308" s="2"/>
      <x:c r="S308" s="2"/>
      <x:c r="T308" s="2"/>
      <x:c r="U308" s="2"/>
      <x:c r="V308" s="2"/>
    </x:row>
    <x:row r="309" ht="34" customHeight="1">
      <x:c r="A309" s="38" t="str">
        <x:v>C03-E167</x:v>
      </x:c>
      <x:c r="B309" s="38" t="str">
        <x:v>C03</x:v>
      </x:c>
      <x:c r="C309" s="38" t="str">
        <x:v>C03-R208</x:v>
      </x:c>
      <x:c r="D309" s="38" t="str">
        <x:v>C03-R048</x:v>
      </x:c>
      <x:c r="E309" s="55" t="n">
        <x:v>24.7</x:v>
      </x:c>
      <x:c r="F309" s="38" t="str">
        <x:v>否</x:v>
      </x:c>
      <x:c r="G309" s="38" t="str">
        <x:v>是</x:v>
      </x:c>
      <x:c r="H309" s="49" t="n">
        <x:v>7.5</x:v>
      </x:c>
      <x:c r="I309" s="49" t="n">
        <x:v>0.3</x:v>
      </x:c>
      <x:c r="J309" s="49" t="str">
        <x:v>无（缘石高差，路侧停车待核）</x:v>
      </x:c>
      <x:c r="K309" s="49" t="n">
        <x:v>3.33</x:v>
      </x:c>
      <x:c r="L309" s="58" t="n">
        <x:f>IF(OR(E309="",K309="",K309=0),"n.a.",E309/K309)</x:f>
        <x:v>7.4174174174174174</x:v>
      </x:c>
      <x:c r="M309" s="38" t="str">
        <x:v>00:00—24:00</x:v>
      </x:c>
      <x:c r="N309" s="59" t="n">
        <x:v>0.3</x:v>
      </x:c>
      <x:c r="O309" s="38" t="str">
        <x:v>OSM</x:v>
      </x:c>
      <x:c r="P309" s="38" t="str">
        <x:v>原始社区数据表</x:v>
      </x:c>
      <x:c r="Q309" s="2"/>
      <x:c r="R309" s="2"/>
      <x:c r="S309" s="2"/>
      <x:c r="T309" s="2"/>
      <x:c r="U309" s="2"/>
      <x:c r="V309" s="2"/>
    </x:row>
    <x:row r="310" ht="34" customHeight="1">
      <x:c r="A310" s="38" t="str">
        <x:v>C04-EB01</x:v>
      </x:c>
      <x:c r="B310" s="38" t="str">
        <x:v>C04</x:v>
      </x:c>
      <x:c r="C310" s="38" t="str">
        <x:v>C04-R001</x:v>
      </x:c>
      <x:c r="D310" s="38" t="str">
        <x:v>C04-R003</x:v>
      </x:c>
      <x:c r="E310" s="55" t="n">
        <x:v>223.3</x:v>
      </x:c>
      <x:c r="F310" s="38" t="str">
        <x:v>是</x:v>
      </x:c>
      <x:c r="G310" s="38" t="str">
        <x:v>待核验</x:v>
      </x:c>
      <x:c r="H310" s="49" t="n">
        <x:v>3.5</x:v>
      </x:c>
      <x:c r="I310" s="49" t="n">
        <x:v>0.5</x:v>
      </x:c>
      <x:c r="J310" s="49" t="str">
        <x:v>路桩、台阶、停车待核</x:v>
      </x:c>
      <x:c r="K310" s="49" t="n">
        <x:v>1.5</x:v>
      </x:c>
      <x:c r="L310" s="58" t="n">
        <x:f>IF(OR(E310="",K310="",K310=0),"n.a.",E310/K310)</x:f>
        <x:v>148.86666666666667</x:v>
      </x:c>
      <x:c r="M310" s="38" t="str">
        <x:v>06:00—23:00（待核）</x:v>
      </x:c>
      <x:c r="N310" s="59" t="n">
        <x:v>0.4</x:v>
      </x:c>
      <x:c r="O310" s="38" t="str">
        <x:v>情景路网</x:v>
      </x:c>
      <x:c r="P310" s="38" t="str">
        <x:v>OSM边界+需求点几何连通</x:v>
      </x:c>
      <x:c r="Q310" s="2"/>
      <x:c r="R310" s="2"/>
      <x:c r="S310" s="2"/>
      <x:c r="T310" s="2"/>
      <x:c r="U310" s="2"/>
      <x:c r="V310" s="2"/>
    </x:row>
    <x:row r="311" ht="34" customHeight="1">
      <x:c r="A311" s="38" t="str">
        <x:v>C04-EB02</x:v>
      </x:c>
      <x:c r="B311" s="38" t="str">
        <x:v>C04</x:v>
      </x:c>
      <x:c r="C311" s="38" t="str">
        <x:v>C04-R002</x:v>
      </x:c>
      <x:c r="D311" s="38" t="str">
        <x:v>C04-R003</x:v>
      </x:c>
      <x:c r="E311" s="55" t="n">
        <x:v>211.8</x:v>
      </x:c>
      <x:c r="F311" s="38" t="str">
        <x:v>是</x:v>
      </x:c>
      <x:c r="G311" s="38" t="str">
        <x:v>待核验</x:v>
      </x:c>
      <x:c r="H311" s="49" t="n">
        <x:v>3.5</x:v>
      </x:c>
      <x:c r="I311" s="49" t="n">
        <x:v>0.5</x:v>
      </x:c>
      <x:c r="J311" s="49" t="str">
        <x:v>路桩、台阶、停车待核</x:v>
      </x:c>
      <x:c r="K311" s="49" t="n">
        <x:v>1.5</x:v>
      </x:c>
      <x:c r="L311" s="58" t="n">
        <x:f>IF(OR(E311="",K311="",K311=0),"n.a.",E311/K311)</x:f>
        <x:v>141.20000000000002</x:v>
      </x:c>
      <x:c r="M311" s="38" t="str">
        <x:v>06:00—23:00（待核）</x:v>
      </x:c>
      <x:c r="N311" s="59" t="n">
        <x:v>0.4</x:v>
      </x:c>
      <x:c r="O311" s="38" t="str">
        <x:v>情景路网</x:v>
      </x:c>
      <x:c r="P311" s="38" t="str">
        <x:v>OSM边界+需求点几何连通</x:v>
      </x:c>
      <x:c r="Q311" s="2"/>
      <x:c r="R311" s="2"/>
      <x:c r="S311" s="2"/>
      <x:c r="T311" s="2"/>
      <x:c r="U311" s="2"/>
      <x:c r="V311" s="2"/>
    </x:row>
    <x:row r="312" ht="34" customHeight="1">
      <x:c r="A312" s="38" t="str">
        <x:v>C04-EB03</x:v>
      </x:c>
      <x:c r="B312" s="38" t="str">
        <x:v>C04</x:v>
      </x:c>
      <x:c r="C312" s="38" t="str">
        <x:v>C04-R003</x:v>
      </x:c>
      <x:c r="D312" s="38" t="str">
        <x:v>C04-R004</x:v>
      </x:c>
      <x:c r="E312" s="55" t="n">
        <x:v>154.2</x:v>
      </x:c>
      <x:c r="F312" s="38" t="str">
        <x:v>是</x:v>
      </x:c>
      <x:c r="G312" s="38" t="str">
        <x:v>待核验</x:v>
      </x:c>
      <x:c r="H312" s="49" t="n">
        <x:v>3.5</x:v>
      </x:c>
      <x:c r="I312" s="49" t="n">
        <x:v>0.5</x:v>
      </x:c>
      <x:c r="J312" s="49" t="str">
        <x:v>路桩、台阶、停车待核</x:v>
      </x:c>
      <x:c r="K312" s="49" t="n">
        <x:v>1.5</x:v>
      </x:c>
      <x:c r="L312" s="58" t="n">
        <x:f>IF(OR(E312="",K312="",K312=0),"n.a.",E312/K312)</x:f>
        <x:v>102.8</x:v>
      </x:c>
      <x:c r="M312" s="38" t="str">
        <x:v>06:00—23:00（待核）</x:v>
      </x:c>
      <x:c r="N312" s="59" t="n">
        <x:v>0.4</x:v>
      </x:c>
      <x:c r="O312" s="38" t="str">
        <x:v>情景路网</x:v>
      </x:c>
      <x:c r="P312" s="38" t="str">
        <x:v>OSM边界+需求点几何连通</x:v>
      </x:c>
      <x:c r="Q312" s="2"/>
      <x:c r="R312" s="2"/>
      <x:c r="S312" s="2"/>
      <x:c r="T312" s="2"/>
      <x:c r="U312" s="2"/>
      <x:c r="V312" s="2"/>
    </x:row>
    <x:row r="313" ht="34" customHeight="1">
      <x:c r="A313" s="38" t="str">
        <x:v>C04-EB04</x:v>
      </x:c>
      <x:c r="B313" s="38" t="str">
        <x:v>C04</x:v>
      </x:c>
      <x:c r="C313" s="38" t="str">
        <x:v>C04-R003</x:v>
      </x:c>
      <x:c r="D313" s="38" t="str">
        <x:v>C04-R005</x:v>
      </x:c>
      <x:c r="E313" s="55" t="n">
        <x:v>191.1</x:v>
      </x:c>
      <x:c r="F313" s="38" t="str">
        <x:v>是</x:v>
      </x:c>
      <x:c r="G313" s="38" t="str">
        <x:v>待核验</x:v>
      </x:c>
      <x:c r="H313" s="49" t="n">
        <x:v>3.5</x:v>
      </x:c>
      <x:c r="I313" s="49" t="n">
        <x:v>0.5</x:v>
      </x:c>
      <x:c r="J313" s="49" t="str">
        <x:v>路桩、台阶、停车待核</x:v>
      </x:c>
      <x:c r="K313" s="49" t="n">
        <x:v>1.5</x:v>
      </x:c>
      <x:c r="L313" s="58" t="n">
        <x:f>IF(OR(E313="",K313="",K313=0),"n.a.",E313/K313)</x:f>
        <x:v>127.39999999999999</x:v>
      </x:c>
      <x:c r="M313" s="38" t="str">
        <x:v>06:00—23:00（待核）</x:v>
      </x:c>
      <x:c r="N313" s="59" t="n">
        <x:v>0.4</x:v>
      </x:c>
      <x:c r="O313" s="38" t="str">
        <x:v>情景路网</x:v>
      </x:c>
      <x:c r="P313" s="38" t="str">
        <x:v>OSM边界+需求点几何连通</x:v>
      </x:c>
      <x:c r="Q313" s="2"/>
      <x:c r="R313" s="2"/>
      <x:c r="S313" s="2"/>
      <x:c r="T313" s="2"/>
      <x:c r="U313" s="2"/>
      <x:c r="V313" s="2"/>
    </x:row>
    <x:row r="314" ht="34" customHeight="1">
      <x:c r="A314" s="38" t="str">
        <x:v>C04-EC01</x:v>
      </x:c>
      <x:c r="B314" s="38" t="str">
        <x:v>C04</x:v>
      </x:c>
      <x:c r="C314" s="38" t="str">
        <x:v>C04-RD01</x:v>
      </x:c>
      <x:c r="D314" s="38" t="str">
        <x:v>C04-R002</x:v>
      </x:c>
      <x:c r="E314" s="55" t="n">
        <x:v>56.7</x:v>
      </x:c>
      <x:c r="F314" s="38" t="str">
        <x:v>是</x:v>
      </x:c>
      <x:c r="G314" s="38" t="str">
        <x:v>待核验</x:v>
      </x:c>
      <x:c r="H314" s="49" t="n">
        <x:v>2.5</x:v>
      </x:c>
      <x:c r="I314" s="49" t="n">
        <x:v>0.5</x:v>
      </x:c>
      <x:c r="J314" s="49" t="str">
        <x:v>楼前台阶、停车待核</x:v>
      </x:c>
      <x:c r="K314" s="49" t="n">
        <x:v>1</x:v>
      </x:c>
      <x:c r="L314" s="58" t="n">
        <x:f>IF(OR(E314="",K314="",K314=0),"n.a.",E314/K314)</x:f>
        <x:v>56.7</x:v>
      </x:c>
      <x:c r="M314" s="38" t="str">
        <x:v>08:00—21:00（待核）</x:v>
      </x:c>
      <x:c r="N314" s="59" t="n">
        <x:v>0.5</x:v>
      </x:c>
      <x:c r="O314" s="38" t="str">
        <x:v>建筑连接推定</x:v>
      </x:c>
      <x:c r="P314" s="38" t="str">
        <x:v>OSM建筑中心到最近情景路点</x:v>
      </x:c>
      <x:c r="Q314" s="2"/>
      <x:c r="R314" s="2"/>
      <x:c r="S314" s="2"/>
      <x:c r="T314" s="2"/>
      <x:c r="U314" s="2"/>
      <x:c r="V314" s="2"/>
    </x:row>
    <x:row r="315" ht="34" customHeight="1">
      <x:c r="A315" s="38" t="str">
        <x:v>C04-EC02</x:v>
      </x:c>
      <x:c r="B315" s="38" t="str">
        <x:v>C04</x:v>
      </x:c>
      <x:c r="C315" s="38" t="str">
        <x:v>C04-RD02</x:v>
      </x:c>
      <x:c r="D315" s="38" t="str">
        <x:v>C04-R003</x:v>
      </x:c>
      <x:c r="E315" s="55" t="n">
        <x:v>98.8</x:v>
      </x:c>
      <x:c r="F315" s="38" t="str">
        <x:v>是</x:v>
      </x:c>
      <x:c r="G315" s="38" t="str">
        <x:v>待核验</x:v>
      </x:c>
      <x:c r="H315" s="49" t="n">
        <x:v>2.5</x:v>
      </x:c>
      <x:c r="I315" s="49" t="n">
        <x:v>0.5</x:v>
      </x:c>
      <x:c r="J315" s="49" t="str">
        <x:v>楼前台阶、停车待核</x:v>
      </x:c>
      <x:c r="K315" s="49" t="n">
        <x:v>1</x:v>
      </x:c>
      <x:c r="L315" s="58" t="n">
        <x:f>IF(OR(E315="",K315="",K315=0),"n.a.",E315/K315)</x:f>
        <x:v>98.8</x:v>
      </x:c>
      <x:c r="M315" s="38" t="str">
        <x:v>08:00—21:00（待核）</x:v>
      </x:c>
      <x:c r="N315" s="59" t="n">
        <x:v>0.5</x:v>
      </x:c>
      <x:c r="O315" s="38" t="str">
        <x:v>建筑连接推定</x:v>
      </x:c>
      <x:c r="P315" s="38" t="str">
        <x:v>OSM建筑中心到最近情景路点</x:v>
      </x:c>
      <x:c r="Q315" s="2"/>
      <x:c r="R315" s="2"/>
      <x:c r="S315" s="2"/>
      <x:c r="T315" s="2"/>
      <x:c r="U315" s="2"/>
      <x:c r="V315" s="2"/>
    </x:row>
    <x:row r="316" ht="34" customHeight="1">
      <x:c r="A316" s="38" t="str">
        <x:v>C04-EC03</x:v>
      </x:c>
      <x:c r="B316" s="38" t="str">
        <x:v>C04</x:v>
      </x:c>
      <x:c r="C316" s="38" t="str">
        <x:v>C04-RD03</x:v>
      </x:c>
      <x:c r="D316" s="38" t="str">
        <x:v>C04-R001</x:v>
      </x:c>
      <x:c r="E316" s="55" t="n">
        <x:v>48.1</x:v>
      </x:c>
      <x:c r="F316" s="38" t="str">
        <x:v>是</x:v>
      </x:c>
      <x:c r="G316" s="38" t="str">
        <x:v>待核验</x:v>
      </x:c>
      <x:c r="H316" s="49" t="n">
        <x:v>2.5</x:v>
      </x:c>
      <x:c r="I316" s="49" t="n">
        <x:v>0.5</x:v>
      </x:c>
      <x:c r="J316" s="49" t="str">
        <x:v>楼前台阶、停车待核</x:v>
      </x:c>
      <x:c r="K316" s="49" t="n">
        <x:v>1</x:v>
      </x:c>
      <x:c r="L316" s="58" t="n">
        <x:f>IF(OR(E316="",K316="",K316=0),"n.a.",E316/K316)</x:f>
        <x:v>48.1</x:v>
      </x:c>
      <x:c r="M316" s="38" t="str">
        <x:v>08:00—21:00（待核）</x:v>
      </x:c>
      <x:c r="N316" s="59" t="n">
        <x:v>0.5</x:v>
      </x:c>
      <x:c r="O316" s="38" t="str">
        <x:v>建筑连接推定</x:v>
      </x:c>
      <x:c r="P316" s="38" t="str">
        <x:v>OSM建筑中心到最近情景路点</x:v>
      </x:c>
      <x:c r="Q316" s="2"/>
      <x:c r="R316" s="2"/>
      <x:c r="S316" s="2"/>
      <x:c r="T316" s="2"/>
      <x:c r="U316" s="2"/>
      <x:c r="V316" s="2"/>
    </x:row>
    <x:row r="317" ht="34" customHeight="1">
      <x:c r="A317" s="38" t="str">
        <x:v>C04-EC04</x:v>
      </x:c>
      <x:c r="B317" s="38" t="str">
        <x:v>C04</x:v>
      </x:c>
      <x:c r="C317" s="38" t="str">
        <x:v>C04-RD04</x:v>
      </x:c>
      <x:c r="D317" s="38" t="str">
        <x:v>C04-R001</x:v>
      </x:c>
      <x:c r="E317" s="55" t="n">
        <x:v>105.1</x:v>
      </x:c>
      <x:c r="F317" s="38" t="str">
        <x:v>是</x:v>
      </x:c>
      <x:c r="G317" s="38" t="str">
        <x:v>待核验</x:v>
      </x:c>
      <x:c r="H317" s="49" t="n">
        <x:v>2.5</x:v>
      </x:c>
      <x:c r="I317" s="49" t="n">
        <x:v>0.5</x:v>
      </x:c>
      <x:c r="J317" s="49" t="str">
        <x:v>楼前台阶、停车待核</x:v>
      </x:c>
      <x:c r="K317" s="49" t="n">
        <x:v>1</x:v>
      </x:c>
      <x:c r="L317" s="58" t="n">
        <x:f>IF(OR(E317="",K317="",K317=0),"n.a.",E317/K317)</x:f>
        <x:v>105.1</x:v>
      </x:c>
      <x:c r="M317" s="38" t="str">
        <x:v>08:00—21:00（待核）</x:v>
      </x:c>
      <x:c r="N317" s="59" t="n">
        <x:v>0.5</x:v>
      </x:c>
      <x:c r="O317" s="38" t="str">
        <x:v>建筑连接推定</x:v>
      </x:c>
      <x:c r="P317" s="38" t="str">
        <x:v>OSM建筑中心到最近情景路点</x:v>
      </x:c>
      <x:c r="Q317" s="2"/>
      <x:c r="R317" s="2"/>
      <x:c r="S317" s="2"/>
      <x:c r="T317" s="2"/>
      <x:c r="U317" s="2"/>
      <x:c r="V317" s="2"/>
    </x:row>
    <x:row r="318" ht="34" customHeight="1">
      <x:c r="A318" s="38" t="str">
        <x:v>C04-EC05</x:v>
      </x:c>
      <x:c r="B318" s="38" t="str">
        <x:v>C04</x:v>
      </x:c>
      <x:c r="C318" s="38" t="str">
        <x:v>C04-RD05</x:v>
      </x:c>
      <x:c r="D318" s="38" t="str">
        <x:v>C04-R002</x:v>
      </x:c>
      <x:c r="E318" s="55" t="n">
        <x:v>137.3</x:v>
      </x:c>
      <x:c r="F318" s="38" t="str">
        <x:v>是</x:v>
      </x:c>
      <x:c r="G318" s="38" t="str">
        <x:v>待核验</x:v>
      </x:c>
      <x:c r="H318" s="49" t="n">
        <x:v>2.5</x:v>
      </x:c>
      <x:c r="I318" s="49" t="n">
        <x:v>0.5</x:v>
      </x:c>
      <x:c r="J318" s="49" t="str">
        <x:v>楼前台阶、停车待核</x:v>
      </x:c>
      <x:c r="K318" s="49" t="n">
        <x:v>1</x:v>
      </x:c>
      <x:c r="L318" s="58" t="n">
        <x:f>IF(OR(E318="",K318="",K318=0),"n.a.",E318/K318)</x:f>
        <x:v>137.3</x:v>
      </x:c>
      <x:c r="M318" s="38" t="str">
        <x:v>08:00—21:00（待核）</x:v>
      </x:c>
      <x:c r="N318" s="59" t="n">
        <x:v>0.5</x:v>
      </x:c>
      <x:c r="O318" s="38" t="str">
        <x:v>建筑连接推定</x:v>
      </x:c>
      <x:c r="P318" s="38" t="str">
        <x:v>OSM建筑中心到最近情景路点</x:v>
      </x:c>
      <x:c r="Q318" s="2"/>
      <x:c r="R318" s="2"/>
      <x:c r="S318" s="2"/>
      <x:c r="T318" s="2"/>
      <x:c r="U318" s="2"/>
      <x:c r="V318" s="2"/>
    </x:row>
    <x:row r="319" ht="34" customHeight="1">
      <x:c r="A319" s="38" t="str">
        <x:v>C04-EC06</x:v>
      </x:c>
      <x:c r="B319" s="38" t="str">
        <x:v>C04</x:v>
      </x:c>
      <x:c r="C319" s="38" t="str">
        <x:v>C04-RD06</x:v>
      </x:c>
      <x:c r="D319" s="38" t="str">
        <x:v>C04-R001</x:v>
      </x:c>
      <x:c r="E319" s="55" t="n">
        <x:v>103.1</x:v>
      </x:c>
      <x:c r="F319" s="38" t="str">
        <x:v>是</x:v>
      </x:c>
      <x:c r="G319" s="38" t="str">
        <x:v>待核验</x:v>
      </x:c>
      <x:c r="H319" s="49" t="n">
        <x:v>2.5</x:v>
      </x:c>
      <x:c r="I319" s="49" t="n">
        <x:v>0.5</x:v>
      </x:c>
      <x:c r="J319" s="49" t="str">
        <x:v>楼前台阶、停车待核</x:v>
      </x:c>
      <x:c r="K319" s="49" t="n">
        <x:v>1</x:v>
      </x:c>
      <x:c r="L319" s="58" t="n">
        <x:f>IF(OR(E319="",K319="",K319=0),"n.a.",E319/K319)</x:f>
        <x:v>103.1</x:v>
      </x:c>
      <x:c r="M319" s="38" t="str">
        <x:v>08:00—21:00（待核）</x:v>
      </x:c>
      <x:c r="N319" s="59" t="n">
        <x:v>0.5</x:v>
      </x:c>
      <x:c r="O319" s="38" t="str">
        <x:v>建筑连接推定</x:v>
      </x:c>
      <x:c r="P319" s="38" t="str">
        <x:v>OSM建筑中心到最近情景路点</x:v>
      </x:c>
      <x:c r="Q319" s="2"/>
      <x:c r="R319" s="2"/>
      <x:c r="S319" s="2"/>
      <x:c r="T319" s="2"/>
      <x:c r="U319" s="2"/>
      <x:c r="V319" s="2"/>
    </x:row>
    <x:row r="320" ht="34" customHeight="1">
      <x:c r="A320" s="38" t="str">
        <x:v>C04-EC07</x:v>
      </x:c>
      <x:c r="B320" s="38" t="str">
        <x:v>C04</x:v>
      </x:c>
      <x:c r="C320" s="38" t="str">
        <x:v>C04-RD07</x:v>
      </x:c>
      <x:c r="D320" s="38" t="str">
        <x:v>C04-R003</x:v>
      </x:c>
      <x:c r="E320" s="55" t="n">
        <x:v>77.7</x:v>
      </x:c>
      <x:c r="F320" s="38" t="str">
        <x:v>是</x:v>
      </x:c>
      <x:c r="G320" s="38" t="str">
        <x:v>待核验</x:v>
      </x:c>
      <x:c r="H320" s="49" t="n">
        <x:v>2.5</x:v>
      </x:c>
      <x:c r="I320" s="49" t="n">
        <x:v>0.5</x:v>
      </x:c>
      <x:c r="J320" s="49" t="str">
        <x:v>楼前台阶、停车待核</x:v>
      </x:c>
      <x:c r="K320" s="49" t="n">
        <x:v>1</x:v>
      </x:c>
      <x:c r="L320" s="58" t="n">
        <x:f>IF(OR(E320="",K320="",K320=0),"n.a.",E320/K320)</x:f>
        <x:v>77.7</x:v>
      </x:c>
      <x:c r="M320" s="38" t="str">
        <x:v>08:00—21:00（待核）</x:v>
      </x:c>
      <x:c r="N320" s="59" t="n">
        <x:v>0.5</x:v>
      </x:c>
      <x:c r="O320" s="38" t="str">
        <x:v>建筑连接推定</x:v>
      </x:c>
      <x:c r="P320" s="38" t="str">
        <x:v>OSM建筑中心到最近情景路点</x:v>
      </x:c>
      <x:c r="Q320" s="2"/>
      <x:c r="R320" s="2"/>
      <x:c r="S320" s="2"/>
      <x:c r="T320" s="2"/>
      <x:c r="U320" s="2"/>
      <x:c r="V320" s="2"/>
    </x:row>
    <x:row r="321" ht="34" customHeight="1">
      <x:c r="A321" s="38" t="str">
        <x:v>C04-EC08</x:v>
      </x:c>
      <x:c r="B321" s="38" t="str">
        <x:v>C04</x:v>
      </x:c>
      <x:c r="C321" s="38" t="str">
        <x:v>C04-RD08</x:v>
      </x:c>
      <x:c r="D321" s="38" t="str">
        <x:v>C04-R003</x:v>
      </x:c>
      <x:c r="E321" s="55" t="n">
        <x:v>20</x:v>
      </x:c>
      <x:c r="F321" s="38" t="str">
        <x:v>是</x:v>
      </x:c>
      <x:c r="G321" s="38" t="str">
        <x:v>待核验</x:v>
      </x:c>
      <x:c r="H321" s="49" t="n">
        <x:v>2.5</x:v>
      </x:c>
      <x:c r="I321" s="49" t="n">
        <x:v>0.5</x:v>
      </x:c>
      <x:c r="J321" s="49" t="str">
        <x:v>楼前台阶、停车待核</x:v>
      </x:c>
      <x:c r="K321" s="49" t="n">
        <x:v>1</x:v>
      </x:c>
      <x:c r="L321" s="58" t="n">
        <x:f>IF(OR(E321="",K321="",K321=0),"n.a.",E321/K321)</x:f>
        <x:v>20</x:v>
      </x:c>
      <x:c r="M321" s="38" t="str">
        <x:v>08:00—21:00（待核）</x:v>
      </x:c>
      <x:c r="N321" s="59" t="n">
        <x:v>0.5</x:v>
      </x:c>
      <x:c r="O321" s="38" t="str">
        <x:v>建筑连接推定</x:v>
      </x:c>
      <x:c r="P321" s="38" t="str">
        <x:v>OSM建筑中心到最近情景路点</x:v>
      </x:c>
      <x:c r="Q321" s="2"/>
      <x:c r="R321" s="2"/>
      <x:c r="S321" s="2"/>
      <x:c r="T321" s="2"/>
      <x:c r="U321" s="2"/>
      <x:c r="V321" s="2"/>
    </x:row>
    <x:row r="322" ht="34" customHeight="1">
      <x:c r="A322" s="38" t="str">
        <x:v>C04-EC09</x:v>
      </x:c>
      <x:c r="B322" s="38" t="str">
        <x:v>C04</x:v>
      </x:c>
      <x:c r="C322" s="38" t="str">
        <x:v>C04-RD09</x:v>
      </x:c>
      <x:c r="D322" s="38" t="str">
        <x:v>C04-R003</x:v>
      </x:c>
      <x:c r="E322" s="55" t="n">
        <x:v>55.6</x:v>
      </x:c>
      <x:c r="F322" s="38" t="str">
        <x:v>是</x:v>
      </x:c>
      <x:c r="G322" s="38" t="str">
        <x:v>待核验</x:v>
      </x:c>
      <x:c r="H322" s="49" t="n">
        <x:v>2.5</x:v>
      </x:c>
      <x:c r="I322" s="49" t="n">
        <x:v>0.5</x:v>
      </x:c>
      <x:c r="J322" s="49" t="str">
        <x:v>楼前台阶、停车待核</x:v>
      </x:c>
      <x:c r="K322" s="49" t="n">
        <x:v>1</x:v>
      </x:c>
      <x:c r="L322" s="58" t="n">
        <x:f>IF(OR(E322="",K322="",K322=0),"n.a.",E322/K322)</x:f>
        <x:v>55.6</x:v>
      </x:c>
      <x:c r="M322" s="38" t="str">
        <x:v>08:00—21:00（待核）</x:v>
      </x:c>
      <x:c r="N322" s="59" t="n">
        <x:v>0.5</x:v>
      </x:c>
      <x:c r="O322" s="38" t="str">
        <x:v>建筑连接推定</x:v>
      </x:c>
      <x:c r="P322" s="38" t="str">
        <x:v>OSM建筑中心到最近情景路点</x:v>
      </x:c>
      <x:c r="Q322" s="2"/>
      <x:c r="R322" s="2"/>
      <x:c r="S322" s="2"/>
      <x:c r="T322" s="2"/>
      <x:c r="U322" s="2"/>
      <x:c r="V322" s="2"/>
    </x:row>
    <x:row r="323" ht="34" customHeight="1">
      <x:c r="A323" s="38" t="str">
        <x:v>C04-EC10</x:v>
      </x:c>
      <x:c r="B323" s="38" t="str">
        <x:v>C04</x:v>
      </x:c>
      <x:c r="C323" s="38" t="str">
        <x:v>C04-RD10</x:v>
      </x:c>
      <x:c r="D323" s="38" t="str">
        <x:v>C04-R004</x:v>
      </x:c>
      <x:c r="E323" s="55" t="n">
        <x:v>66.2</x:v>
      </x:c>
      <x:c r="F323" s="38" t="str">
        <x:v>是</x:v>
      </x:c>
      <x:c r="G323" s="38" t="str">
        <x:v>待核验</x:v>
      </x:c>
      <x:c r="H323" s="49" t="n">
        <x:v>2.5</x:v>
      </x:c>
      <x:c r="I323" s="49" t="n">
        <x:v>0.5</x:v>
      </x:c>
      <x:c r="J323" s="49" t="str">
        <x:v>楼前台阶、停车待核</x:v>
      </x:c>
      <x:c r="K323" s="49" t="n">
        <x:v>1</x:v>
      </x:c>
      <x:c r="L323" s="58" t="n">
        <x:f>IF(OR(E323="",K323="",K323=0),"n.a.",E323/K323)</x:f>
        <x:v>66.2</x:v>
      </x:c>
      <x:c r="M323" s="38" t="str">
        <x:v>08:00—21:00（待核）</x:v>
      </x:c>
      <x:c r="N323" s="59" t="n">
        <x:v>0.5</x:v>
      </x:c>
      <x:c r="O323" s="38" t="str">
        <x:v>建筑连接推定</x:v>
      </x:c>
      <x:c r="P323" s="38" t="str">
        <x:v>OSM建筑中心到最近情景路点</x:v>
      </x:c>
      <x:c r="Q323" s="2"/>
      <x:c r="R323" s="2"/>
      <x:c r="S323" s="2"/>
      <x:c r="T323" s="2"/>
      <x:c r="U323" s="2"/>
      <x:c r="V323" s="2"/>
    </x:row>
    <x:row r="324" ht="34" customHeight="1">
      <x:c r="A324" s="38" t="str">
        <x:v>C04-EC11</x:v>
      </x:c>
      <x:c r="B324" s="38" t="str">
        <x:v>C04</x:v>
      </x:c>
      <x:c r="C324" s="38" t="str">
        <x:v>C04-RD11</x:v>
      </x:c>
      <x:c r="D324" s="38" t="str">
        <x:v>C04-R004</x:v>
      </x:c>
      <x:c r="E324" s="55" t="n">
        <x:v>12.2</x:v>
      </x:c>
      <x:c r="F324" s="38" t="str">
        <x:v>是</x:v>
      </x:c>
      <x:c r="G324" s="38" t="str">
        <x:v>待核验</x:v>
      </x:c>
      <x:c r="H324" s="49" t="n">
        <x:v>2.5</x:v>
      </x:c>
      <x:c r="I324" s="49" t="n">
        <x:v>0.5</x:v>
      </x:c>
      <x:c r="J324" s="49" t="str">
        <x:v>楼前台阶、停车待核</x:v>
      </x:c>
      <x:c r="K324" s="49" t="n">
        <x:v>1</x:v>
      </x:c>
      <x:c r="L324" s="58" t="n">
        <x:f>IF(OR(E324="",K324="",K324=0),"n.a.",E324/K324)</x:f>
        <x:v>12.2</x:v>
      </x:c>
      <x:c r="M324" s="38" t="str">
        <x:v>08:00—21:00（待核）</x:v>
      </x:c>
      <x:c r="N324" s="59" t="n">
        <x:v>0.5</x:v>
      </x:c>
      <x:c r="O324" s="38" t="str">
        <x:v>建筑连接推定</x:v>
      </x:c>
      <x:c r="P324" s="38" t="str">
        <x:v>OSM建筑中心到最近情景路点</x:v>
      </x:c>
      <x:c r="Q324" s="2"/>
      <x:c r="R324" s="2"/>
      <x:c r="S324" s="2"/>
      <x:c r="T324" s="2"/>
      <x:c r="U324" s="2"/>
      <x:c r="V324" s="2"/>
    </x:row>
    <x:row r="325" ht="34" customHeight="1">
      <x:c r="A325" s="38" t="str">
        <x:v>C04-EC12</x:v>
      </x:c>
      <x:c r="B325" s="38" t="str">
        <x:v>C04</x:v>
      </x:c>
      <x:c r="C325" s="38" t="str">
        <x:v>C04-RD12</x:v>
      </x:c>
      <x:c r="D325" s="38" t="str">
        <x:v>C04-R004</x:v>
      </x:c>
      <x:c r="E325" s="55" t="n">
        <x:v>86.1</x:v>
      </x:c>
      <x:c r="F325" s="38" t="str">
        <x:v>是</x:v>
      </x:c>
      <x:c r="G325" s="38" t="str">
        <x:v>待核验</x:v>
      </x:c>
      <x:c r="H325" s="49" t="n">
        <x:v>2.5</x:v>
      </x:c>
      <x:c r="I325" s="49" t="n">
        <x:v>0.5</x:v>
      </x:c>
      <x:c r="J325" s="49" t="str">
        <x:v>楼前台阶、停车待核</x:v>
      </x:c>
      <x:c r="K325" s="49" t="n">
        <x:v>1</x:v>
      </x:c>
      <x:c r="L325" s="58" t="n">
        <x:f>IF(OR(E325="",K325="",K325=0),"n.a.",E325/K325)</x:f>
        <x:v>86.1</x:v>
      </x:c>
      <x:c r="M325" s="38" t="str">
        <x:v>08:00—21:00（待核）</x:v>
      </x:c>
      <x:c r="N325" s="59" t="n">
        <x:v>0.5</x:v>
      </x:c>
      <x:c r="O325" s="38" t="str">
        <x:v>建筑连接推定</x:v>
      </x:c>
      <x:c r="P325" s="38" t="str">
        <x:v>OSM建筑中心到最近情景路点</x:v>
      </x:c>
      <x:c r="Q325" s="2"/>
      <x:c r="R325" s="2"/>
      <x:c r="S325" s="2"/>
      <x:c r="T325" s="2"/>
      <x:c r="U325" s="2"/>
      <x:c r="V325" s="2"/>
    </x:row>
    <x:row r="326" ht="34" customHeight="1">
      <x:c r="A326" s="38" t="str">
        <x:v>C05-EB01</x:v>
      </x:c>
      <x:c r="B326" s="38" t="str">
        <x:v>C05</x:v>
      </x:c>
      <x:c r="C326" s="38" t="str">
        <x:v>C05-R001</x:v>
      </x:c>
      <x:c r="D326" s="38" t="str">
        <x:v>C05-R003</x:v>
      </x:c>
      <x:c r="E326" s="55" t="n">
        <x:v>220.8</x:v>
      </x:c>
      <x:c r="F326" s="38" t="str">
        <x:v>是</x:v>
      </x:c>
      <x:c r="G326" s="38" t="str">
        <x:v>待核验</x:v>
      </x:c>
      <x:c r="H326" s="49" t="n">
        <x:v>3.5</x:v>
      </x:c>
      <x:c r="I326" s="49" t="n">
        <x:v>0.5</x:v>
      </x:c>
      <x:c r="J326" s="49" t="str">
        <x:v>路桩、台阶、停车待核</x:v>
      </x:c>
      <x:c r="K326" s="49" t="n">
        <x:v>1.5</x:v>
      </x:c>
      <x:c r="L326" s="58" t="n">
        <x:f>IF(OR(E326="",K326="",K326=0),"n.a.",E326/K326)</x:f>
        <x:v>147.20000000000002</x:v>
      </x:c>
      <x:c r="M326" s="38" t="str">
        <x:v>06:00—23:00（待核）</x:v>
      </x:c>
      <x:c r="N326" s="59" t="n">
        <x:v>0.4</x:v>
      </x:c>
      <x:c r="O326" s="38" t="str">
        <x:v>情景路网</x:v>
      </x:c>
      <x:c r="P326" s="38" t="str">
        <x:v>OSM边界+需求点几何连通</x:v>
      </x:c>
      <x:c r="Q326" s="2"/>
      <x:c r="R326" s="2"/>
      <x:c r="S326" s="2"/>
      <x:c r="T326" s="2"/>
      <x:c r="U326" s="2"/>
      <x:c r="V326" s="2"/>
    </x:row>
    <x:row r="327" ht="34" customHeight="1">
      <x:c r="A327" s="38" t="str">
        <x:v>C05-EB02</x:v>
      </x:c>
      <x:c r="B327" s="38" t="str">
        <x:v>C05</x:v>
      </x:c>
      <x:c r="C327" s="38" t="str">
        <x:v>C05-R002</x:v>
      </x:c>
      <x:c r="D327" s="38" t="str">
        <x:v>C05-R006</x:v>
      </x:c>
      <x:c r="E327" s="55" t="n">
        <x:v>80.7</x:v>
      </x:c>
      <x:c r="F327" s="38" t="str">
        <x:v>是</x:v>
      </x:c>
      <x:c r="G327" s="38" t="str">
        <x:v>待核验</x:v>
      </x:c>
      <x:c r="H327" s="49" t="n">
        <x:v>3.5</x:v>
      </x:c>
      <x:c r="I327" s="49" t="n">
        <x:v>0.5</x:v>
      </x:c>
      <x:c r="J327" s="49" t="str">
        <x:v>路桩、台阶、停车待核</x:v>
      </x:c>
      <x:c r="K327" s="49" t="n">
        <x:v>1.5</x:v>
      </x:c>
      <x:c r="L327" s="58" t="n">
        <x:f>IF(OR(E327="",K327="",K327=0),"n.a.",E327/K327)</x:f>
        <x:v>53.800000000000004</x:v>
      </x:c>
      <x:c r="M327" s="38" t="str">
        <x:v>06:00—23:00（待核）</x:v>
      </x:c>
      <x:c r="N327" s="59" t="n">
        <x:v>0.4</x:v>
      </x:c>
      <x:c r="O327" s="38" t="str">
        <x:v>情景路网</x:v>
      </x:c>
      <x:c r="P327" s="38" t="str">
        <x:v>OSM边界+需求点几何连通</x:v>
      </x:c>
      <x:c r="Q327" s="2"/>
      <x:c r="R327" s="2"/>
      <x:c r="S327" s="2"/>
      <x:c r="T327" s="2"/>
      <x:c r="U327" s="2"/>
      <x:c r="V327" s="2"/>
    </x:row>
    <x:row r="328" ht="34" customHeight="1">
      <x:c r="A328" s="38" t="str">
        <x:v>C05-EB03</x:v>
      </x:c>
      <x:c r="B328" s="38" t="str">
        <x:v>C05</x:v>
      </x:c>
      <x:c r="C328" s="38" t="str">
        <x:v>C05-R006</x:v>
      </x:c>
      <x:c r="D328" s="38" t="str">
        <x:v>C05-R003</x:v>
      </x:c>
      <x:c r="E328" s="55" t="n">
        <x:v>223.1</x:v>
      </x:c>
      <x:c r="F328" s="38" t="str">
        <x:v>是</x:v>
      </x:c>
      <x:c r="G328" s="38" t="str">
        <x:v>待核验</x:v>
      </x:c>
      <x:c r="H328" s="49" t="n">
        <x:v>3.5</x:v>
      </x:c>
      <x:c r="I328" s="49" t="n">
        <x:v>0.5</x:v>
      </x:c>
      <x:c r="J328" s="49" t="str">
        <x:v>路桩、台阶、停车待核</x:v>
      </x:c>
      <x:c r="K328" s="49" t="n">
        <x:v>1.5</x:v>
      </x:c>
      <x:c r="L328" s="58" t="n">
        <x:f>IF(OR(E328="",K328="",K328=0),"n.a.",E328/K328)</x:f>
        <x:v>148.73333333333332</x:v>
      </x:c>
      <x:c r="M328" s="38" t="str">
        <x:v>06:00—23:00（待核）</x:v>
      </x:c>
      <x:c r="N328" s="59" t="n">
        <x:v>0.4</x:v>
      </x:c>
      <x:c r="O328" s="38" t="str">
        <x:v>情景路网</x:v>
      </x:c>
      <x:c r="P328" s="38" t="str">
        <x:v>OSM边界+需求点几何连通</x:v>
      </x:c>
      <x:c r="Q328" s="2"/>
      <x:c r="R328" s="2"/>
      <x:c r="S328" s="2"/>
      <x:c r="T328" s="2"/>
      <x:c r="U328" s="2"/>
      <x:c r="V328" s="2"/>
    </x:row>
    <x:row r="329" ht="34" customHeight="1">
      <x:c r="A329" s="38" t="str">
        <x:v>C05-EB04</x:v>
      </x:c>
      <x:c r="B329" s="38" t="str">
        <x:v>C05</x:v>
      </x:c>
      <x:c r="C329" s="38" t="str">
        <x:v>C05-R003</x:v>
      </x:c>
      <x:c r="D329" s="38" t="str">
        <x:v>C05-R004</x:v>
      </x:c>
      <x:c r="E329" s="55" t="n">
        <x:v>243.7</x:v>
      </x:c>
      <x:c r="F329" s="38" t="str">
        <x:v>是</x:v>
      </x:c>
      <x:c r="G329" s="38" t="str">
        <x:v>待核验</x:v>
      </x:c>
      <x:c r="H329" s="49" t="n">
        <x:v>3.5</x:v>
      </x:c>
      <x:c r="I329" s="49" t="n">
        <x:v>0.5</x:v>
      </x:c>
      <x:c r="J329" s="49" t="str">
        <x:v>路桩、台阶、停车待核</x:v>
      </x:c>
      <x:c r="K329" s="49" t="n">
        <x:v>1.5</x:v>
      </x:c>
      <x:c r="L329" s="58" t="n">
        <x:f>IF(OR(E329="",K329="",K329=0),"n.a.",E329/K329)</x:f>
        <x:v>162.46666666666667</x:v>
      </x:c>
      <x:c r="M329" s="38" t="str">
        <x:v>06:00—23:00（待核）</x:v>
      </x:c>
      <x:c r="N329" s="59" t="n">
        <x:v>0.4</x:v>
      </x:c>
      <x:c r="O329" s="38" t="str">
        <x:v>情景路网</x:v>
      </x:c>
      <x:c r="P329" s="38" t="str">
        <x:v>OSM边界+需求点几何连通</x:v>
      </x:c>
      <x:c r="Q329" s="2"/>
      <x:c r="R329" s="2"/>
      <x:c r="S329" s="2"/>
      <x:c r="T329" s="2"/>
      <x:c r="U329" s="2"/>
      <x:c r="V329" s="2"/>
    </x:row>
    <x:row r="330" ht="34" customHeight="1">
      <x:c r="A330" s="38" t="str">
        <x:v>C05-EB05</x:v>
      </x:c>
      <x:c r="B330" s="38" t="str">
        <x:v>C05</x:v>
      </x:c>
      <x:c r="C330" s="38" t="str">
        <x:v>C05-R003</x:v>
      </x:c>
      <x:c r="D330" s="38" t="str">
        <x:v>C05-R005</x:v>
      </x:c>
      <x:c r="E330" s="55" t="n">
        <x:v>216.1</x:v>
      </x:c>
      <x:c r="F330" s="38" t="str">
        <x:v>是</x:v>
      </x:c>
      <x:c r="G330" s="38" t="str">
        <x:v>待核验</x:v>
      </x:c>
      <x:c r="H330" s="49" t="n">
        <x:v>3.5</x:v>
      </x:c>
      <x:c r="I330" s="49" t="n">
        <x:v>0.5</x:v>
      </x:c>
      <x:c r="J330" s="49" t="str">
        <x:v>路桩、台阶、停车待核</x:v>
      </x:c>
      <x:c r="K330" s="49" t="n">
        <x:v>1.5</x:v>
      </x:c>
      <x:c r="L330" s="58" t="n">
        <x:f>IF(OR(E330="",K330="",K330=0),"n.a.",E330/K330)</x:f>
        <x:v>144.06666666666666</x:v>
      </x:c>
      <x:c r="M330" s="38" t="str">
        <x:v>06:00—23:00（待核）</x:v>
      </x:c>
      <x:c r="N330" s="59" t="n">
        <x:v>0.4</x:v>
      </x:c>
      <x:c r="O330" s="38" t="str">
        <x:v>情景路网</x:v>
      </x:c>
      <x:c r="P330" s="38" t="str">
        <x:v>OSM边界+需求点几何连通</x:v>
      </x:c>
      <x:c r="Q330" s="2"/>
      <x:c r="R330" s="2"/>
      <x:c r="S330" s="2"/>
      <x:c r="T330" s="2"/>
      <x:c r="U330" s="2"/>
      <x:c r="V330" s="2"/>
    </x:row>
    <x:row r="331" ht="34" customHeight="1">
      <x:c r="A331" s="38" t="str">
        <x:v>C05-EB06</x:v>
      </x:c>
      <x:c r="B331" s="38" t="str">
        <x:v>C05</x:v>
      </x:c>
      <x:c r="C331" s="38" t="str">
        <x:v>C05-R005</x:v>
      </x:c>
      <x:c r="D331" s="38" t="str">
        <x:v>C05-R006</x:v>
      </x:c>
      <x:c r="E331" s="55" t="n">
        <x:v>141.8</x:v>
      </x:c>
      <x:c r="F331" s="38" t="str">
        <x:v>是</x:v>
      </x:c>
      <x:c r="G331" s="38" t="str">
        <x:v>待核验</x:v>
      </x:c>
      <x:c r="H331" s="49" t="n">
        <x:v>3.5</x:v>
      </x:c>
      <x:c r="I331" s="49" t="n">
        <x:v>0.5</x:v>
      </x:c>
      <x:c r="J331" s="49" t="str">
        <x:v>路桩、台阶、停车待核</x:v>
      </x:c>
      <x:c r="K331" s="49" t="n">
        <x:v>1.5</x:v>
      </x:c>
      <x:c r="L331" s="58" t="n">
        <x:f>IF(OR(E331="",K331="",K331=0),"n.a.",E331/K331)</x:f>
        <x:v>94.53333333333335</x:v>
      </x:c>
      <x:c r="M331" s="38" t="str">
        <x:v>06:00—23:00（待核）</x:v>
      </x:c>
      <x:c r="N331" s="59" t="n">
        <x:v>0.4</x:v>
      </x:c>
      <x:c r="O331" s="38" t="str">
        <x:v>情景路网</x:v>
      </x:c>
      <x:c r="P331" s="38" t="str">
        <x:v>OSM边界+需求点几何连通</x:v>
      </x:c>
      <x:c r="Q331" s="2"/>
      <x:c r="R331" s="2"/>
      <x:c r="S331" s="2"/>
      <x:c r="T331" s="2"/>
      <x:c r="U331" s="2"/>
      <x:c r="V331" s="2"/>
    </x:row>
    <x:row r="332" ht="34" customHeight="1">
      <x:c r="A332" s="38" t="str">
        <x:v>C05-EC01</x:v>
      </x:c>
      <x:c r="B332" s="38" t="str">
        <x:v>C05</x:v>
      </x:c>
      <x:c r="C332" s="38" t="str">
        <x:v>C05-RD01</x:v>
      </x:c>
      <x:c r="D332" s="38" t="str">
        <x:v>C05-R004</x:v>
      </x:c>
      <x:c r="E332" s="55" t="n">
        <x:v>107.5</x:v>
      </x:c>
      <x:c r="F332" s="38" t="str">
        <x:v>是</x:v>
      </x:c>
      <x:c r="G332" s="38" t="str">
        <x:v>待核验</x:v>
      </x:c>
      <x:c r="H332" s="49" t="n">
        <x:v>2.5</x:v>
      </x:c>
      <x:c r="I332" s="49" t="n">
        <x:v>0.5</x:v>
      </x:c>
      <x:c r="J332" s="49" t="str">
        <x:v>楼前台阶、停车待核</x:v>
      </x:c>
      <x:c r="K332" s="49" t="n">
        <x:v>1</x:v>
      </x:c>
      <x:c r="L332" s="58" t="n">
        <x:f>IF(OR(E332="",K332="",K332=0),"n.a.",E332/K332)</x:f>
        <x:v>107.5</x:v>
      </x:c>
      <x:c r="M332" s="38" t="str">
        <x:v>08:00—21:00（待核）</x:v>
      </x:c>
      <x:c r="N332" s="59" t="n">
        <x:v>0.5</x:v>
      </x:c>
      <x:c r="O332" s="38" t="str">
        <x:v>建筑连接推定</x:v>
      </x:c>
      <x:c r="P332" s="38" t="str">
        <x:v>OSM建筑中心到最近情景路点</x:v>
      </x:c>
      <x:c r="Q332" s="2"/>
      <x:c r="R332" s="2"/>
      <x:c r="S332" s="2"/>
      <x:c r="T332" s="2"/>
      <x:c r="U332" s="2"/>
      <x:c r="V332" s="2"/>
    </x:row>
    <x:row r="333" ht="34" customHeight="1">
      <x:c r="A333" s="38" t="str">
        <x:v>C05-EC02</x:v>
      </x:c>
      <x:c r="B333" s="38" t="str">
        <x:v>C05</x:v>
      </x:c>
      <x:c r="C333" s="38" t="str">
        <x:v>C05-RD02</x:v>
      </x:c>
      <x:c r="D333" s="38" t="str">
        <x:v>C05-R001</x:v>
      </x:c>
      <x:c r="E333" s="55" t="n">
        <x:v>85.9</x:v>
      </x:c>
      <x:c r="F333" s="38" t="str">
        <x:v>是</x:v>
      </x:c>
      <x:c r="G333" s="38" t="str">
        <x:v>待核验</x:v>
      </x:c>
      <x:c r="H333" s="49" t="n">
        <x:v>2.5</x:v>
      </x:c>
      <x:c r="I333" s="49" t="n">
        <x:v>0.5</x:v>
      </x:c>
      <x:c r="J333" s="49" t="str">
        <x:v>楼前台阶、停车待核</x:v>
      </x:c>
      <x:c r="K333" s="49" t="n">
        <x:v>1</x:v>
      </x:c>
      <x:c r="L333" s="58" t="n">
        <x:f>IF(OR(E333="",K333="",K333=0),"n.a.",E333/K333)</x:f>
        <x:v>85.9</x:v>
      </x:c>
      <x:c r="M333" s="38" t="str">
        <x:v>08:00—21:00（待核）</x:v>
      </x:c>
      <x:c r="N333" s="59" t="n">
        <x:v>0.5</x:v>
      </x:c>
      <x:c r="O333" s="38" t="str">
        <x:v>建筑连接推定</x:v>
      </x:c>
      <x:c r="P333" s="38" t="str">
        <x:v>OSM建筑中心到最近情景路点</x:v>
      </x:c>
      <x:c r="Q333" s="2"/>
      <x:c r="R333" s="2"/>
      <x:c r="S333" s="2"/>
      <x:c r="T333" s="2"/>
      <x:c r="U333" s="2"/>
      <x:c r="V333" s="2"/>
    </x:row>
    <x:row r="334" ht="34" customHeight="1">
      <x:c r="A334" s="38" t="str">
        <x:v>C05-EC03</x:v>
      </x:c>
      <x:c r="B334" s="38" t="str">
        <x:v>C05</x:v>
      </x:c>
      <x:c r="C334" s="38" t="str">
        <x:v>C05-RD03</x:v>
      </x:c>
      <x:c r="D334" s="38" t="str">
        <x:v>C05-R003</x:v>
      </x:c>
      <x:c r="E334" s="55" t="n">
        <x:v>40.7</x:v>
      </x:c>
      <x:c r="F334" s="38" t="str">
        <x:v>是</x:v>
      </x:c>
      <x:c r="G334" s="38" t="str">
        <x:v>待核验</x:v>
      </x:c>
      <x:c r="H334" s="49" t="n">
        <x:v>2.5</x:v>
      </x:c>
      <x:c r="I334" s="49" t="n">
        <x:v>0.5</x:v>
      </x:c>
      <x:c r="J334" s="49" t="str">
        <x:v>楼前台阶、停车待核</x:v>
      </x:c>
      <x:c r="K334" s="49" t="n">
        <x:v>1</x:v>
      </x:c>
      <x:c r="L334" s="58" t="n">
        <x:f>IF(OR(E334="",K334="",K334=0),"n.a.",E334/K334)</x:f>
        <x:v>40.7</x:v>
      </x:c>
      <x:c r="M334" s="38" t="str">
        <x:v>08:00—21:00（待核）</x:v>
      </x:c>
      <x:c r="N334" s="59" t="n">
        <x:v>0.5</x:v>
      </x:c>
      <x:c r="O334" s="38" t="str">
        <x:v>建筑连接推定</x:v>
      </x:c>
      <x:c r="P334" s="38" t="str">
        <x:v>OSM建筑中心到最近情景路点</x:v>
      </x:c>
      <x:c r="Q334" s="2"/>
      <x:c r="R334" s="2"/>
      <x:c r="S334" s="2"/>
      <x:c r="T334" s="2"/>
      <x:c r="U334" s="2"/>
      <x:c r="V334" s="2"/>
    </x:row>
    <x:row r="335" ht="34" customHeight="1">
      <x:c r="A335" s="38" t="str">
        <x:v>C05-EC04</x:v>
      </x:c>
      <x:c r="B335" s="38" t="str">
        <x:v>C05</x:v>
      </x:c>
      <x:c r="C335" s="38" t="str">
        <x:v>C05-RD04</x:v>
      </x:c>
      <x:c r="D335" s="38" t="str">
        <x:v>C05-R001</x:v>
      </x:c>
      <x:c r="E335" s="55" t="n">
        <x:v>61.4</x:v>
      </x:c>
      <x:c r="F335" s="38" t="str">
        <x:v>是</x:v>
      </x:c>
      <x:c r="G335" s="38" t="str">
        <x:v>待核验</x:v>
      </x:c>
      <x:c r="H335" s="49" t="n">
        <x:v>2.5</x:v>
      </x:c>
      <x:c r="I335" s="49" t="n">
        <x:v>0.5</x:v>
      </x:c>
      <x:c r="J335" s="49" t="str">
        <x:v>楼前台阶、停车待核</x:v>
      </x:c>
      <x:c r="K335" s="49" t="n">
        <x:v>1</x:v>
      </x:c>
      <x:c r="L335" s="58" t="n">
        <x:f>IF(OR(E335="",K335="",K335=0),"n.a.",E335/K335)</x:f>
        <x:v>61.4</x:v>
      </x:c>
      <x:c r="M335" s="38" t="str">
        <x:v>08:00—21:00（待核）</x:v>
      </x:c>
      <x:c r="N335" s="59" t="n">
        <x:v>0.5</x:v>
      </x:c>
      <x:c r="O335" s="38" t="str">
        <x:v>建筑连接推定</x:v>
      </x:c>
      <x:c r="P335" s="38" t="str">
        <x:v>OSM建筑中心到最近情景路点</x:v>
      </x:c>
      <x:c r="Q335" s="2"/>
      <x:c r="R335" s="2"/>
      <x:c r="S335" s="2"/>
      <x:c r="T335" s="2"/>
      <x:c r="U335" s="2"/>
      <x:c r="V335" s="2"/>
    </x:row>
    <x:row r="336" ht="34" customHeight="1">
      <x:c r="A336" s="38" t="str">
        <x:v>C05-EC05</x:v>
      </x:c>
      <x:c r="B336" s="38" t="str">
        <x:v>C05</x:v>
      </x:c>
      <x:c r="C336" s="38" t="str">
        <x:v>C05-RD05</x:v>
      </x:c>
      <x:c r="D336" s="38" t="str">
        <x:v>C05-R003</x:v>
      </x:c>
      <x:c r="E336" s="55" t="n">
        <x:v>104.3</x:v>
      </x:c>
      <x:c r="F336" s="38" t="str">
        <x:v>是</x:v>
      </x:c>
      <x:c r="G336" s="38" t="str">
        <x:v>待核验</x:v>
      </x:c>
      <x:c r="H336" s="49" t="n">
        <x:v>2.5</x:v>
      </x:c>
      <x:c r="I336" s="49" t="n">
        <x:v>0.5</x:v>
      </x:c>
      <x:c r="J336" s="49" t="str">
        <x:v>楼前台阶、停车待核</x:v>
      </x:c>
      <x:c r="K336" s="49" t="n">
        <x:v>1</x:v>
      </x:c>
      <x:c r="L336" s="58" t="n">
        <x:f>IF(OR(E336="",K336="",K336=0),"n.a.",E336/K336)</x:f>
        <x:v>104.3</x:v>
      </x:c>
      <x:c r="M336" s="38" t="str">
        <x:v>08:00—21:00（待核）</x:v>
      </x:c>
      <x:c r="N336" s="59" t="n">
        <x:v>0.5</x:v>
      </x:c>
      <x:c r="O336" s="38" t="str">
        <x:v>建筑连接推定</x:v>
      </x:c>
      <x:c r="P336" s="38" t="str">
        <x:v>OSM建筑中心到最近情景路点</x:v>
      </x:c>
      <x:c r="Q336" s="2"/>
      <x:c r="R336" s="2"/>
      <x:c r="S336" s="2"/>
      <x:c r="T336" s="2"/>
      <x:c r="U336" s="2"/>
      <x:c r="V336" s="2"/>
    </x:row>
    <x:row r="337" ht="34" customHeight="1">
      <x:c r="A337" s="38" t="str">
        <x:v>C05-EC06</x:v>
      </x:c>
      <x:c r="B337" s="38" t="str">
        <x:v>C05</x:v>
      </x:c>
      <x:c r="C337" s="38" t="str">
        <x:v>C05-RD06</x:v>
      </x:c>
      <x:c r="D337" s="38" t="str">
        <x:v>C05-R003</x:v>
      </x:c>
      <x:c r="E337" s="55" t="n">
        <x:v>73.6</x:v>
      </x:c>
      <x:c r="F337" s="38" t="str">
        <x:v>是</x:v>
      </x:c>
      <x:c r="G337" s="38" t="str">
        <x:v>待核验</x:v>
      </x:c>
      <x:c r="H337" s="49" t="n">
        <x:v>2.5</x:v>
      </x:c>
      <x:c r="I337" s="49" t="n">
        <x:v>0.5</x:v>
      </x:c>
      <x:c r="J337" s="49" t="str">
        <x:v>楼前台阶、停车待核</x:v>
      </x:c>
      <x:c r="K337" s="49" t="n">
        <x:v>1</x:v>
      </x:c>
      <x:c r="L337" s="58" t="n">
        <x:f>IF(OR(E337="",K337="",K337=0),"n.a.",E337/K337)</x:f>
        <x:v>73.6</x:v>
      </x:c>
      <x:c r="M337" s="38" t="str">
        <x:v>08:00—21:00（待核）</x:v>
      </x:c>
      <x:c r="N337" s="59" t="n">
        <x:v>0.5</x:v>
      </x:c>
      <x:c r="O337" s="38" t="str">
        <x:v>建筑连接推定</x:v>
      </x:c>
      <x:c r="P337" s="38" t="str">
        <x:v>OSM建筑中心到最近情景路点</x:v>
      </x:c>
      <x:c r="Q337" s="2"/>
      <x:c r="R337" s="2"/>
      <x:c r="S337" s="2"/>
      <x:c r="T337" s="2"/>
      <x:c r="U337" s="2"/>
      <x:c r="V337" s="2"/>
    </x:row>
    <x:row r="338" ht="34" customHeight="1">
      <x:c r="A338" s="38" t="str">
        <x:v>C05-EC07</x:v>
      </x:c>
      <x:c r="B338" s="38" t="str">
        <x:v>C05</x:v>
      </x:c>
      <x:c r="C338" s="38" t="str">
        <x:v>C05-RD07</x:v>
      </x:c>
      <x:c r="D338" s="38" t="str">
        <x:v>C05-R006</x:v>
      </x:c>
      <x:c r="E338" s="55" t="n">
        <x:v>33.4</x:v>
      </x:c>
      <x:c r="F338" s="38" t="str">
        <x:v>是</x:v>
      </x:c>
      <x:c r="G338" s="38" t="str">
        <x:v>待核验</x:v>
      </x:c>
      <x:c r="H338" s="49" t="n">
        <x:v>2.5</x:v>
      </x:c>
      <x:c r="I338" s="49" t="n">
        <x:v>0.5</x:v>
      </x:c>
      <x:c r="J338" s="49" t="str">
        <x:v>楼前台阶、停车待核</x:v>
      </x:c>
      <x:c r="K338" s="49" t="n">
        <x:v>1</x:v>
      </x:c>
      <x:c r="L338" s="58" t="n">
        <x:f>IF(OR(E338="",K338="",K338=0),"n.a.",E338/K338)</x:f>
        <x:v>33.4</x:v>
      </x:c>
      <x:c r="M338" s="38" t="str">
        <x:v>08:00—21:00（待核）</x:v>
      </x:c>
      <x:c r="N338" s="59" t="n">
        <x:v>0.5</x:v>
      </x:c>
      <x:c r="O338" s="38" t="str">
        <x:v>建筑连接推定</x:v>
      </x:c>
      <x:c r="P338" s="38" t="str">
        <x:v>OSM建筑中心到最近情景路点</x:v>
      </x:c>
      <x:c r="Q338" s="2"/>
      <x:c r="R338" s="2"/>
      <x:c r="S338" s="2"/>
      <x:c r="T338" s="2"/>
      <x:c r="U338" s="2"/>
      <x:c r="V338" s="2"/>
    </x:row>
    <x:row r="339" ht="34" customHeight="1">
      <x:c r="A339" s="38" t="str">
        <x:v>C05-EC08</x:v>
      </x:c>
      <x:c r="B339" s="38" t="str">
        <x:v>C05</x:v>
      </x:c>
      <x:c r="C339" s="38" t="str">
        <x:v>C05-RD08</x:v>
      </x:c>
      <x:c r="D339" s="38" t="str">
        <x:v>C05-R003</x:v>
      </x:c>
      <x:c r="E339" s="55" t="n">
        <x:v>98.9</x:v>
      </x:c>
      <x:c r="F339" s="38" t="str">
        <x:v>是</x:v>
      </x:c>
      <x:c r="G339" s="38" t="str">
        <x:v>待核验</x:v>
      </x:c>
      <x:c r="H339" s="49" t="n">
        <x:v>2.5</x:v>
      </x:c>
      <x:c r="I339" s="49" t="n">
        <x:v>0.5</x:v>
      </x:c>
      <x:c r="J339" s="49" t="str">
        <x:v>楼前台阶、停车待核</x:v>
      </x:c>
      <x:c r="K339" s="49" t="n">
        <x:v>1</x:v>
      </x:c>
      <x:c r="L339" s="58" t="n">
        <x:f>IF(OR(E339="",K339="",K339=0),"n.a.",E339/K339)</x:f>
        <x:v>98.9</x:v>
      </x:c>
      <x:c r="M339" s="38" t="str">
        <x:v>08:00—21:00（待核）</x:v>
      </x:c>
      <x:c r="N339" s="59" t="n">
        <x:v>0.5</x:v>
      </x:c>
      <x:c r="O339" s="38" t="str">
        <x:v>建筑连接推定</x:v>
      </x:c>
      <x:c r="P339" s="38" t="str">
        <x:v>OSM建筑中心到最近情景路点</x:v>
      </x:c>
      <x:c r="Q339" s="2"/>
      <x:c r="R339" s="2"/>
      <x:c r="S339" s="2"/>
      <x:c r="T339" s="2"/>
      <x:c r="U339" s="2"/>
      <x:c r="V339" s="2"/>
    </x:row>
    <x:row r="340" ht="34" customHeight="1">
      <x:c r="A340" s="38" t="str">
        <x:v>C05-EC09</x:v>
      </x:c>
      <x:c r="B340" s="38" t="str">
        <x:v>C05</x:v>
      </x:c>
      <x:c r="C340" s="38" t="str">
        <x:v>C05-RD09</x:v>
      </x:c>
      <x:c r="D340" s="38" t="str">
        <x:v>C05-R005</x:v>
      </x:c>
      <x:c r="E340" s="55" t="n">
        <x:v>83.9</x:v>
      </x:c>
      <x:c r="F340" s="38" t="str">
        <x:v>是</x:v>
      </x:c>
      <x:c r="G340" s="38" t="str">
        <x:v>待核验</x:v>
      </x:c>
      <x:c r="H340" s="49" t="n">
        <x:v>2.5</x:v>
      </x:c>
      <x:c r="I340" s="49" t="n">
        <x:v>0.5</x:v>
      </x:c>
      <x:c r="J340" s="49" t="str">
        <x:v>楼前台阶、停车待核</x:v>
      </x:c>
      <x:c r="K340" s="49" t="n">
        <x:v>1</x:v>
      </x:c>
      <x:c r="L340" s="58" t="n">
        <x:f>IF(OR(E340="",K340="",K340=0),"n.a.",E340/K340)</x:f>
        <x:v>83.9</x:v>
      </x:c>
      <x:c r="M340" s="38" t="str">
        <x:v>08:00—21:00（待核）</x:v>
      </x:c>
      <x:c r="N340" s="59" t="n">
        <x:v>0.5</x:v>
      </x:c>
      <x:c r="O340" s="38" t="str">
        <x:v>建筑连接推定</x:v>
      </x:c>
      <x:c r="P340" s="38" t="str">
        <x:v>OSM建筑中心到最近情景路点</x:v>
      </x:c>
      <x:c r="Q340" s="2"/>
      <x:c r="R340" s="2"/>
      <x:c r="S340" s="2"/>
      <x:c r="T340" s="2"/>
      <x:c r="U340" s="2"/>
      <x:c r="V340" s="2"/>
    </x:row>
    <x:row r="341" ht="34" customHeight="1">
      <x:c r="A341" s="38" t="str">
        <x:v>C05-EC10</x:v>
      </x:c>
      <x:c r="B341" s="38" t="str">
        <x:v>C05</x:v>
      </x:c>
      <x:c r="C341" s="38" t="str">
        <x:v>C05-RD10</x:v>
      </x:c>
      <x:c r="D341" s="38" t="str">
        <x:v>C05-R005</x:v>
      </x:c>
      <x:c r="E341" s="55" t="n">
        <x:v>59</x:v>
      </x:c>
      <x:c r="F341" s="38" t="str">
        <x:v>是</x:v>
      </x:c>
      <x:c r="G341" s="38" t="str">
        <x:v>待核验</x:v>
      </x:c>
      <x:c r="H341" s="49" t="n">
        <x:v>2.5</x:v>
      </x:c>
      <x:c r="I341" s="49" t="n">
        <x:v>0.5</x:v>
      </x:c>
      <x:c r="J341" s="49" t="str">
        <x:v>楼前台阶、停车待核</x:v>
      </x:c>
      <x:c r="K341" s="49" t="n">
        <x:v>1</x:v>
      </x:c>
      <x:c r="L341" s="58" t="n">
        <x:f>IF(OR(E341="",K341="",K341=0),"n.a.",E341/K341)</x:f>
        <x:v>59</x:v>
      </x:c>
      <x:c r="M341" s="38" t="str">
        <x:v>08:00—21:00（待核）</x:v>
      </x:c>
      <x:c r="N341" s="59" t="n">
        <x:v>0.5</x:v>
      </x:c>
      <x:c r="O341" s="38" t="str">
        <x:v>建筑连接推定</x:v>
      </x:c>
      <x:c r="P341" s="38" t="str">
        <x:v>OSM建筑中心到最近情景路点</x:v>
      </x:c>
      <x:c r="Q341" s="2"/>
      <x:c r="R341" s="2"/>
      <x:c r="S341" s="2"/>
      <x:c r="T341" s="2"/>
      <x:c r="U341" s="2"/>
      <x:c r="V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conditionalFormatting sqref="O6:O341">
    <x:cfRule type="containsText" dxfId="7" priority="1" operator="containsText" text="情景"/>
  </x:conditionalFormatting>
  <x:pageMargins left="0.7" right="0.7" top="0.75" bottom="0.75" header="0.3" footer="0.3"/>
  <x:tableParts count="1">
    <x:tablePart xmlns:r="http://schemas.openxmlformats.org/officeDocument/2006/relationships" r:id="R38d5a24731bd41eb"/>
  </x:tableParts>
</x:worksheet>
</file>

<file path=xl/worksheets/sheet9.xml><?xml version="1.0" encoding="utf-8"?>
<x:worksheet xmlns:x="http://schemas.openxmlformats.org/spreadsheetml/2006/main">
  <x:sheetPr>
    <x:tabColor rgb="FFC55A11"/>
  </x:sheetPr>
  <x:sheetViews>
    <x:sheetView showGridLines="0" workbookViewId="0">
      <x:pane xSplit="2" ySplit="5" topLeftCell="C6" activePane="bottomRight" state="frozen"/>
    </x:sheetView>
  </x:sheetViews>
  <x:sheetFormatPr defaultRowHeight="15"/>
  <x:cols>
    <x:col min="1" max="1" width="12" hidden="0" customWidth="1"/>
    <x:col min="2" max="2" width="15" hidden="0" customWidth="1"/>
    <x:col min="3" max="3" width="30" hidden="0" customWidth="1"/>
    <x:col min="4" max="4" width="20" hidden="0" customWidth="1"/>
    <x:col min="5" max="5" width="48" hidden="0" customWidth="1"/>
    <x:col min="6" max="6" width="52" hidden="0" customWidth="1"/>
    <x:col min="7" max="7" width="12" hidden="0" customWidth="1"/>
    <x:col min="8" max="8" width="28" hidden="0" customWidth="1"/>
    <x:col min="9" max="9" width="46"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缺失与核验</x:v>
      </x:c>
      <x:c r="B2" s="2"/>
      <x:c r="C2" s="2"/>
      <x:c r="D2" s="2"/>
      <x:c r="E2" s="2"/>
      <x:c r="F2" s="2"/>
      <x:c r="G2" s="2"/>
      <x:c r="H2" s="2"/>
      <x:c r="I2" s="2"/>
      <x:c r="J2" s="2"/>
      <x:c r="K2" s="2"/>
      <x:c r="L2" s="2"/>
      <x:c r="M2" s="2"/>
      <x:c r="N2" s="2"/>
      <x:c r="O2" s="2"/>
      <x:c r="P2" s="2"/>
      <x:c r="Q2" s="2"/>
      <x:c r="R2" s="2"/>
      <x:c r="S2" s="2"/>
      <x:c r="T2" s="2"/>
      <x:c r="U2" s="2"/>
      <x:c r="V2" s="2"/>
    </x:row>
    <x:row r="3">
      <x:c r="A3" s="5" t="str">
        <x:v>记录清洗决定、无法在线补齐的数据和现场采集优先级。</x:v>
      </x:c>
      <x:c r="B3" s="4"/>
      <x:c r="C3" s="4"/>
      <x:c r="D3" s="4"/>
      <x:c r="E3" s="4"/>
      <x:c r="F3" s="4"/>
      <x:c r="G3" s="4"/>
      <x:c r="H3" s="4"/>
      <x:c r="I3" s="4"/>
      <x:c r="J3" s="2"/>
      <x:c r="K3" s="2"/>
      <x:c r="L3" s="2"/>
      <x:c r="M3" s="2"/>
      <x:c r="N3" s="2"/>
      <x:c r="O3" s="2"/>
      <x:c r="P3" s="2"/>
      <x:c r="Q3" s="2"/>
      <x:c r="R3" s="2"/>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x:c r="A5" s="14" t="str">
        <x:v>社区ID</x:v>
      </x:c>
      <x:c r="B5" s="15" t="str">
        <x:v>数据类别</x:v>
      </x:c>
      <x:c r="C5" s="15" t="str">
        <x:v>字段</x:v>
      </x:c>
      <x:c r="D5" s="15" t="str">
        <x:v>处理状态</x:v>
      </x:c>
      <x:c r="E5" s="15" t="str">
        <x:v>问题或缺失</x:v>
      </x:c>
      <x:c r="F5" s="15" t="str">
        <x:v>当前处理方式</x:v>
      </x:c>
      <x:c r="G5" s="15" t="str">
        <x:v>优先级</x:v>
      </x:c>
      <x:c r="H5" s="15" t="str">
        <x:v>来源</x:v>
      </x:c>
      <x:c r="I5" s="16" t="str">
        <x:v>来源链接</x:v>
      </x:c>
      <x:c r="J5" s="2"/>
      <x:c r="K5" s="2"/>
      <x:c r="L5" s="2"/>
      <x:c r="M5" s="2"/>
      <x:c r="N5" s="2"/>
      <x:c r="O5" s="2"/>
      <x:c r="P5" s="2"/>
      <x:c r="Q5" s="2"/>
      <x:c r="R5" s="2"/>
      <x:c r="S5" s="2"/>
      <x:c r="T5" s="2"/>
      <x:c r="U5" s="2"/>
      <x:c r="V5" s="2"/>
    </x:row>
    <x:row r="6" ht="58" customHeight="1">
      <x:c r="A6" s="38" t="str">
        <x:v>C01</x:v>
      </x:c>
      <x:c r="B6" s="38" t="str">
        <x:v>出入口</x:v>
      </x:c>
      <x:c r="C6" s="38" t="str">
        <x:v>无人车准入、门宽与开放时间</x:v>
      </x:c>
      <x:c r="D6" s="38" t="str">
        <x:v>待现场</x:v>
      </x:c>
      <x:c r="E6" s="38" t="str">
        <x:v>公开位置仍以推定为主</x:v>
      </x:c>
      <x:c r="F6" s="38" t="str">
        <x:v>保持情景值；现场替换坐标和权限</x:v>
      </x:c>
      <x:c r="G6" s="38" t="str">
        <x:v>高</x:v>
      </x:c>
      <x:c r="H6" s="38" t="str">
        <x:v>原始社区数据表</x:v>
      </x:c>
      <x:c r="I6" s="38" t="str"/>
      <x:c r="J6" s="2"/>
      <x:c r="K6" s="2"/>
      <x:c r="L6" s="2"/>
      <x:c r="M6" s="2"/>
      <x:c r="N6" s="2"/>
      <x:c r="O6" s="2"/>
      <x:c r="P6" s="2"/>
      <x:c r="Q6" s="2"/>
      <x:c r="R6" s="2"/>
      <x:c r="S6" s="2"/>
      <x:c r="T6" s="2"/>
      <x:c r="U6" s="2"/>
      <x:c r="V6" s="2"/>
    </x:row>
    <x:row r="7" ht="58" customHeight="1">
      <x:c r="A7" s="38" t="str">
        <x:v>C01</x:v>
      </x:c>
      <x:c r="B7" s="38" t="str">
        <x:v>设施</x:v>
      </x:c>
      <x:c r="C7" s="38" t="str">
        <x:v>现有快递柜数量、容量与日件量</x:v>
      </x:c>
      <x:c r="D7" s="38" t="str">
        <x:v>待现场</x:v>
      </x:c>
      <x:c r="E7" s="38" t="str">
        <x:v>公开网页不能确认2026运营状态</x:v>
      </x:c>
      <x:c r="F7" s="38" t="str">
        <x:v>连续7日盘点格口与收派件量</x:v>
      </x:c>
      <x:c r="G7" s="38" t="str">
        <x:v>高</x:v>
      </x:c>
      <x:c r="H7" s="38" t="str">
        <x:v>原始社区数据表</x:v>
      </x:c>
      <x:c r="I7" s="38" t="str"/>
      <x:c r="J7" s="2"/>
      <x:c r="K7" s="2"/>
      <x:c r="L7" s="2"/>
      <x:c r="M7" s="2"/>
      <x:c r="N7" s="2"/>
      <x:c r="O7" s="2"/>
      <x:c r="P7" s="2"/>
      <x:c r="Q7" s="2"/>
      <x:c r="R7" s="2"/>
      <x:c r="S7" s="2"/>
      <x:c r="T7" s="2"/>
      <x:c r="U7" s="2"/>
      <x:c r="V7" s="2"/>
    </x:row>
    <x:row r="8" ht="58" customHeight="1">
      <x:c r="A8" s="38" t="str">
        <x:v>C02</x:v>
      </x:c>
      <x:c r="B8" s="38" t="str">
        <x:v>人口</x:v>
      </x:c>
      <x:c r="C8" s="38" t="str">
        <x:v>户数口径</x:v>
      </x:c>
      <x:c r="D8" s="38" t="str">
        <x:v>已清洗</x:v>
      </x:c>
      <x:c r="E8" s="38" t="str">
        <x:v>原表650户与官方433户冲突</x:v>
      </x:c>
      <x:c r="F8" s="38" t="str">
        <x:v>模型采用官方433户；保留敏感性场景650户</x:v>
      </x:c>
      <x:c r="G8" s="38" t="str">
        <x:v>高</x:v>
      </x:c>
      <x:c r="H8" s="38" t="str">
        <x:v>经开区官方</x:v>
      </x:c>
      <x:c r="I8" s="38" t="str">
        <x:v>https://kfqgw.beijing.gov.cn/ywdt/tt/cxfw/202203/t20220301_4180185.html</x:v>
      </x:c>
      <x:c r="J8" s="2"/>
      <x:c r="K8" s="2"/>
      <x:c r="L8" s="2"/>
      <x:c r="M8" s="2"/>
      <x:c r="N8" s="2"/>
      <x:c r="O8" s="2"/>
      <x:c r="P8" s="2"/>
      <x:c r="Q8" s="2"/>
      <x:c r="R8" s="2"/>
      <x:c r="S8" s="2"/>
      <x:c r="T8" s="2"/>
      <x:c r="U8" s="2"/>
      <x:c r="V8" s="2"/>
    </x:row>
    <x:row r="9" ht="58" customHeight="1">
      <x:c r="A9" s="38" t="str">
        <x:v>C02</x:v>
      </x:c>
      <x:c r="B9" s="38" t="str">
        <x:v>道路</x:v>
      </x:c>
      <x:c r="C9" s="38" t="str">
        <x:v>别墅区通行限制</x:v>
      </x:c>
      <x:c r="D9" s="38" t="str">
        <x:v>待现场</x:v>
      </x:c>
      <x:c r="E9" s="38" t="str">
        <x:v>OSM没有宽度、台阶和停车干扰</x:v>
      </x:c>
      <x:c r="F9" s="38" t="str">
        <x:v>实测净宽、门禁、转弯半径和障碍</x:v>
      </x:c>
      <x:c r="G9" s="38" t="str">
        <x:v>高</x:v>
      </x:c>
      <x:c r="H9" s="38" t="str">
        <x:v>OSM</x:v>
      </x:c>
      <x:c r="I9" s="38" t="str"/>
      <x:c r="J9" s="2"/>
      <x:c r="K9" s="2"/>
      <x:c r="L9" s="2"/>
      <x:c r="M9" s="2"/>
      <x:c r="N9" s="2"/>
      <x:c r="O9" s="2"/>
      <x:c r="P9" s="2"/>
      <x:c r="Q9" s="2"/>
      <x:c r="R9" s="2"/>
      <x:c r="S9" s="2"/>
      <x:c r="T9" s="2"/>
      <x:c r="U9" s="2"/>
      <x:c r="V9" s="2"/>
    </x:row>
    <x:row r="10" ht="58" customHeight="1">
      <x:c r="A10" s="38" t="str">
        <x:v>C03</x:v>
      </x:c>
      <x:c r="B10" s="38" t="str">
        <x:v>出入口</x:v>
      </x:c>
      <x:c r="C10" s="38" t="str">
        <x:v>C03-G03坐标</x:v>
      </x:c>
      <x:c r="D10" s="38" t="str">
        <x:v>已停用</x:v>
      </x:c>
      <x:c r="E10" s="38" t="str">
        <x:v>原始坐标与鹿鸣苑门点重合且位于本社区边界外</x:v>
      </x:c>
      <x:c r="F10" s="38" t="str">
        <x:v>停用该行，重新现场采集西门坐标</x:v>
      </x:c>
      <x:c r="G10" s="38" t="str">
        <x:v>高</x:v>
      </x:c>
      <x:c r="H10" s="38" t="str">
        <x:v>数据一致性检查</x:v>
      </x:c>
      <x:c r="I10" s="38" t="str"/>
      <x:c r="J10" s="2"/>
      <x:c r="K10" s="2"/>
      <x:c r="L10" s="2"/>
      <x:c r="M10" s="2"/>
      <x:c r="N10" s="2"/>
      <x:c r="O10" s="2"/>
      <x:c r="P10" s="2"/>
      <x:c r="Q10" s="2"/>
      <x:c r="R10" s="2"/>
      <x:c r="S10" s="2"/>
      <x:c r="T10" s="2"/>
      <x:c r="U10" s="2"/>
      <x:c r="V10" s="2"/>
    </x:row>
    <x:row r="11" ht="58" customHeight="1">
      <x:c r="A11" s="38" t="str">
        <x:v>C03</x:v>
      </x:c>
      <x:c r="B11" s="38" t="str">
        <x:v>需求节点</x:v>
      </x:c>
      <x:c r="C11" s="38" t="str">
        <x:v>C03-D06名称</x:v>
      </x:c>
      <x:c r="D11" s="38" t="str">
        <x:v>已清洗</x:v>
      </x:c>
      <x:c r="E11" s="38" t="str">
        <x:v>原始名称为商业屏幕POI，不符合住宅需求节点</x:v>
      </x:c>
      <x:c r="F11" s="38" t="str">
        <x:v>改为聚合住宅点，坐标和5户仍待核</x:v>
      </x:c>
      <x:c r="G11" s="38" t="str">
        <x:v>中</x:v>
      </x:c>
      <x:c r="H11" s="38" t="str">
        <x:v>数据一致性检查</x:v>
      </x:c>
      <x:c r="I11" s="38" t="str"/>
      <x:c r="J11" s="2"/>
      <x:c r="K11" s="2"/>
      <x:c r="L11" s="2"/>
      <x:c r="M11" s="2"/>
      <x:c r="N11" s="2"/>
      <x:c r="O11" s="2"/>
      <x:c r="P11" s="2"/>
      <x:c r="Q11" s="2"/>
      <x:c r="R11" s="2"/>
      <x:c r="S11" s="2"/>
      <x:c r="T11" s="2"/>
      <x:c r="U11" s="2"/>
      <x:c r="V11" s="2"/>
    </x:row>
    <x:row r="12" ht="58" customHeight="1">
      <x:c r="A12" s="38" t="str">
        <x:v>C04</x:v>
      </x:c>
      <x:c r="B12" s="38" t="str">
        <x:v>道路</x:v>
      </x:c>
      <x:c r="C12" s="38" t="str">
        <x:v>内部通行路网</x:v>
      </x:c>
      <x:c r="D12" s="38" t="str">
        <x:v>情景补齐</x:v>
      </x:c>
      <x:c r="E12" s="38" t="str">
        <x:v>OSM小区边界内无完整highway道路</x:v>
      </x:c>
      <x:c r="F12" s="38" t="str">
        <x:v>构建4条骨架边+12条建筑连接边，仅用于初步模型</x:v>
      </x:c>
      <x:c r="G12" s="38" t="str">
        <x:v>高</x:v>
      </x:c>
      <x:c r="H12" s="38" t="str">
        <x:v>OSM way 234410624</x:v>
      </x:c>
      <x:c r="I12" s="38" t="str">
        <x:v>https://www.openstreetmap.org/way/234410624</x:v>
      </x:c>
      <x:c r="J12" s="2"/>
      <x:c r="K12" s="2"/>
      <x:c r="L12" s="2"/>
      <x:c r="M12" s="2"/>
      <x:c r="N12" s="2"/>
      <x:c r="O12" s="2"/>
      <x:c r="P12" s="2"/>
      <x:c r="Q12" s="2"/>
      <x:c r="R12" s="2"/>
      <x:c r="S12" s="2"/>
      <x:c r="T12" s="2"/>
      <x:c r="U12" s="2"/>
      <x:c r="V12" s="2"/>
    </x:row>
    <x:row r="13" ht="58" customHeight="1">
      <x:c r="A13" s="38" t="str">
        <x:v>C04</x:v>
      </x:c>
      <x:c r="B13" s="38" t="str">
        <x:v>设施</x:v>
      </x:c>
      <x:c r="C13" s="38" t="str">
        <x:v>现状快递柜/驿站坐标与容量</x:v>
      </x:c>
      <x:c r="D13" s="38" t="str">
        <x:v>未取得</x:v>
      </x:c>
      <x:c r="E13" s="38" t="str">
        <x:v>搜索只能确认快递服务覆盖，未检得可验证的末端设施点位</x:v>
      </x:c>
      <x:c r="F13" s="38" t="str">
        <x:v>保留入口柜、换电柜和接驳点候选；现场盘点现状</x:v>
      </x:c>
      <x:c r="G13" s="38" t="str">
        <x:v>高</x:v>
      </x:c>
      <x:c r="H13" s="38" t="str">
        <x:v>公开检索</x:v>
      </x:c>
      <x:c r="I13" s="38" t="str"/>
      <x:c r="J13" s="2"/>
      <x:c r="K13" s="2"/>
      <x:c r="L13" s="2"/>
      <x:c r="M13" s="2"/>
      <x:c r="N13" s="2"/>
      <x:c r="O13" s="2"/>
      <x:c r="P13" s="2"/>
      <x:c r="Q13" s="2"/>
      <x:c r="R13" s="2"/>
      <x:c r="S13" s="2"/>
      <x:c r="T13" s="2"/>
      <x:c r="U13" s="2"/>
      <x:c r="V13" s="2"/>
    </x:row>
    <x:row r="14" ht="58" customHeight="1">
      <x:c r="A14" s="38" t="str">
        <x:v>C04</x:v>
      </x:c>
      <x:c r="B14" s="38" t="str">
        <x:v>人口</x:v>
      </x:c>
      <x:c r="C14" s="38" t="str">
        <x:v>老年人口</x:v>
      </x:c>
      <x:c r="D14" s="38" t="str">
        <x:v>未取得</x:v>
      </x:c>
      <x:c r="E14" s="38" t="str">
        <x:v>公开资料未给出社区级老年人数</x:v>
      </x:c>
      <x:c r="F14" s="38" t="str">
        <x:v>可暂不进入基础模型；需要时按街道比例做敏感性</x:v>
      </x:c>
      <x:c r="G14" s="38" t="str">
        <x:v>低</x:v>
      </x:c>
      <x:c r="H14" s="38" t="str">
        <x:v>公开检索</x:v>
      </x:c>
      <x:c r="I14" s="38" t="str"/>
      <x:c r="J14" s="2"/>
      <x:c r="K14" s="2"/>
      <x:c r="L14" s="2"/>
      <x:c r="M14" s="2"/>
      <x:c r="N14" s="2"/>
      <x:c r="O14" s="2"/>
      <x:c r="P14" s="2"/>
      <x:c r="Q14" s="2"/>
      <x:c r="R14" s="2"/>
      <x:c r="S14" s="2"/>
      <x:c r="T14" s="2"/>
      <x:c r="U14" s="2"/>
      <x:c r="V14" s="2"/>
    </x:row>
    <x:row r="15" ht="58" customHeight="1">
      <x:c r="A15" s="38" t="str">
        <x:v>C05</x:v>
      </x:c>
      <x:c r="B15" s="38" t="str">
        <x:v>道路</x:v>
      </x:c>
      <x:c r="C15" s="38" t="str">
        <x:v>内部通行路网</x:v>
      </x:c>
      <x:c r="D15" s="38" t="str">
        <x:v>情景补齐</x:v>
      </x:c>
      <x:c r="E15" s="38" t="str">
        <x:v>OSM边界内仅有1条track，不能形成完整路网</x:v>
      </x:c>
      <x:c r="F15" s="38" t="str">
        <x:v>构建6条骨架边+10条建筑连接边，仅用于初步模型</x:v>
      </x:c>
      <x:c r="G15" s="38" t="str">
        <x:v>高</x:v>
      </x:c>
      <x:c r="H15" s="38" t="str">
        <x:v>OSM way 234418243</x:v>
      </x:c>
      <x:c r="I15" s="38" t="str">
        <x:v>https://www.openstreetmap.org/way/234418243</x:v>
      </x:c>
      <x:c r="J15" s="2"/>
      <x:c r="K15" s="2"/>
      <x:c r="L15" s="2"/>
      <x:c r="M15" s="2"/>
      <x:c r="N15" s="2"/>
      <x:c r="O15" s="2"/>
      <x:c r="P15" s="2"/>
      <x:c r="Q15" s="2"/>
      <x:c r="R15" s="2"/>
      <x:c r="S15" s="2"/>
      <x:c r="T15" s="2"/>
      <x:c r="U15" s="2"/>
      <x:c r="V15" s="2"/>
    </x:row>
    <x:row r="16" ht="58" customHeight="1">
      <x:c r="A16" s="38" t="str">
        <x:v>C05</x:v>
      </x:c>
      <x:c r="B16" s="38" t="str">
        <x:v>设施</x:v>
      </x:c>
      <x:c r="C16" s="38" t="str">
        <x:v>2026年常设快递柜/驿站</x:v>
      </x:c>
      <x:c r="D16" s="38" t="str">
        <x:v>未取得</x:v>
      </x:c>
      <x:c r="E16" s="38" t="str">
        <x:v>官方仅确认2022年封控期12组临时货架</x:v>
      </x:c>
      <x:c r="F16" s="38" t="str">
        <x:v>历史货架不作为现状；设置东门候选设施</x:v>
      </x:c>
      <x:c r="G16" s="38" t="str">
        <x:v>高</x:v>
      </x:c>
      <x:c r="H16" s="38" t="str">
        <x:v>经开区官方</x:v>
      </x:c>
      <x:c r="I16" s="38" t="str">
        <x:v>https://kfqgw.beijing.gov.cn/zwgkkfq/ztzl/fkyqbjjkqzxdkfq/rdxwkfq/202206/t20220622_4228063.html</x:v>
      </x:c>
      <x:c r="J16" s="2"/>
      <x:c r="K16" s="2"/>
      <x:c r="L16" s="2"/>
      <x:c r="M16" s="2"/>
      <x:c r="N16" s="2"/>
      <x:c r="O16" s="2"/>
      <x:c r="P16" s="2"/>
      <x:c r="Q16" s="2"/>
      <x:c r="R16" s="2"/>
      <x:c r="S16" s="2"/>
      <x:c r="T16" s="2"/>
      <x:c r="U16" s="2"/>
      <x:c r="V16" s="2"/>
    </x:row>
    <x:row r="17" ht="58" customHeight="1">
      <x:c r="A17" s="38" t="str">
        <x:v>C05</x:v>
      </x:c>
      <x:c r="B17" s="38" t="str">
        <x:v>人口</x:v>
      </x:c>
      <x:c r="C17" s="38" t="str">
        <x:v>户数</x:v>
      </x:c>
      <x:c r="D17" s="38" t="str">
        <x:v>多源冲突</x:v>
      </x:c>
      <x:c r="E17" s="38" t="str">
        <x:v>原表1054户，房天下1050户</x:v>
      </x:c>
      <x:c r="F17" s="38" t="str">
        <x:v>模型采用1050户；4户差异不影响初步模型</x:v>
      </x:c>
      <x:c r="G17" s="38" t="str">
        <x:v>低</x:v>
      </x:c>
      <x:c r="H17" s="38" t="str">
        <x:v>房天下</x:v>
      </x:c>
      <x:c r="I17" s="38" t="str">
        <x:v>https://esf.fang.com/loupan/1010302731/housedetail.htm</x:v>
      </x:c>
      <x:c r="J17" s="2"/>
      <x:c r="K17" s="2"/>
      <x:c r="L17" s="2"/>
      <x:c r="M17" s="2"/>
      <x:c r="N17" s="2"/>
      <x:c r="O17" s="2"/>
      <x:c r="P17" s="2"/>
      <x:c r="Q17" s="2"/>
      <x:c r="R17" s="2"/>
      <x:c r="S17" s="2"/>
      <x:c r="T17" s="2"/>
      <x:c r="U17" s="2"/>
      <x:c r="V17" s="2"/>
    </x:row>
    <x:row r="18" ht="58" customHeight="1">
      <x:c r="A18" s="38" t="str">
        <x:v>C01</x:v>
      </x:c>
      <x:c r="B18" s="38" t="str">
        <x:v>需求</x:v>
      </x:c>
      <x:c r="C18" s="38" t="str">
        <x:v>真实分时派件量</x:v>
      </x:c>
      <x:c r="D18" s="38" t="str">
        <x:v>统一假设</x:v>
      </x:c>
      <x:c r="E18" s="38" t="str">
        <x:v>均缺少连续7日实际快递/外卖件量</x:v>
      </x:c>
      <x:c r="F18" s="38" t="str">
        <x:v>基准0.6件/户·日、峰值系数2.0；后续替换</x:v>
      </x:c>
      <x:c r="G18" s="38" t="str">
        <x:v>高</x:v>
      </x:c>
      <x:c r="H18" s="38" t="str">
        <x:v>模型统一参数</x:v>
      </x:c>
      <x:c r="I18" s="38" t="str"/>
      <x:c r="J18" s="2"/>
      <x:c r="K18" s="2"/>
      <x:c r="L18" s="2"/>
      <x:c r="M18" s="2"/>
      <x:c r="N18" s="2"/>
      <x:c r="O18" s="2"/>
      <x:c r="P18" s="2"/>
      <x:c r="Q18" s="2"/>
      <x:c r="R18" s="2"/>
      <x:c r="S18" s="2"/>
      <x:c r="T18" s="2"/>
      <x:c r="U18" s="2"/>
      <x:c r="V18" s="2"/>
    </x:row>
    <x:row r="19" ht="58" customHeight="1">
      <x:c r="A19" s="38" t="str">
        <x:v>C02</x:v>
      </x:c>
      <x:c r="B19" s="38" t="str">
        <x:v>需求</x:v>
      </x:c>
      <x:c r="C19" s="38" t="str">
        <x:v>真实分时派件量</x:v>
      </x:c>
      <x:c r="D19" s="38" t="str">
        <x:v>统一假设</x:v>
      </x:c>
      <x:c r="E19" s="38" t="str">
        <x:v>均缺少连续7日实际快递/外卖件量</x:v>
      </x:c>
      <x:c r="F19" s="38" t="str">
        <x:v>基准0.6件/户·日、峰值系数2.0；后续替换</x:v>
      </x:c>
      <x:c r="G19" s="38" t="str">
        <x:v>高</x:v>
      </x:c>
      <x:c r="H19" s="38" t="str">
        <x:v>模型统一参数</x:v>
      </x:c>
      <x:c r="I19" s="38" t="str"/>
      <x:c r="J19" s="2"/>
      <x:c r="K19" s="2"/>
      <x:c r="L19" s="2"/>
      <x:c r="M19" s="2"/>
      <x:c r="N19" s="2"/>
      <x:c r="O19" s="2"/>
      <x:c r="P19" s="2"/>
      <x:c r="Q19" s="2"/>
      <x:c r="R19" s="2"/>
      <x:c r="S19" s="2"/>
      <x:c r="T19" s="2"/>
      <x:c r="U19" s="2"/>
      <x:c r="V19" s="2"/>
    </x:row>
    <x:row r="20" ht="58" customHeight="1">
      <x:c r="A20" s="38" t="str">
        <x:v>C03</x:v>
      </x:c>
      <x:c r="B20" s="38" t="str">
        <x:v>需求</x:v>
      </x:c>
      <x:c r="C20" s="38" t="str">
        <x:v>真实分时派件量</x:v>
      </x:c>
      <x:c r="D20" s="38" t="str">
        <x:v>统一假设</x:v>
      </x:c>
      <x:c r="E20" s="38" t="str">
        <x:v>均缺少连续7日实际快递/外卖件量</x:v>
      </x:c>
      <x:c r="F20" s="38" t="str">
        <x:v>基准0.6件/户·日、峰值系数2.0；后续替换</x:v>
      </x:c>
      <x:c r="G20" s="38" t="str">
        <x:v>高</x:v>
      </x:c>
      <x:c r="H20" s="38" t="str">
        <x:v>模型统一参数</x:v>
      </x:c>
      <x:c r="I20" s="38" t="str"/>
      <x:c r="J20" s="2"/>
      <x:c r="K20" s="2"/>
      <x:c r="L20" s="2"/>
      <x:c r="M20" s="2"/>
      <x:c r="N20" s="2"/>
      <x:c r="O20" s="2"/>
      <x:c r="P20" s="2"/>
      <x:c r="Q20" s="2"/>
      <x:c r="R20" s="2"/>
      <x:c r="S20" s="2"/>
      <x:c r="T20" s="2"/>
      <x:c r="U20" s="2"/>
      <x:c r="V20" s="2"/>
    </x:row>
    <x:row r="21" ht="58" customHeight="1">
      <x:c r="A21" s="38" t="str">
        <x:v>C04</x:v>
      </x:c>
      <x:c r="B21" s="38" t="str">
        <x:v>需求</x:v>
      </x:c>
      <x:c r="C21" s="38" t="str">
        <x:v>真实分时派件量</x:v>
      </x:c>
      <x:c r="D21" s="38" t="str">
        <x:v>统一假设</x:v>
      </x:c>
      <x:c r="E21" s="38" t="str">
        <x:v>均缺少连续7日实际快递/外卖件量</x:v>
      </x:c>
      <x:c r="F21" s="38" t="str">
        <x:v>基准0.6件/户·日、峰值系数2.0；后续替换</x:v>
      </x:c>
      <x:c r="G21" s="38" t="str">
        <x:v>高</x:v>
      </x:c>
      <x:c r="H21" s="38" t="str">
        <x:v>模型统一参数</x:v>
      </x:c>
      <x:c r="I21" s="38" t="str"/>
      <x:c r="J21" s="2"/>
      <x:c r="K21" s="2"/>
      <x:c r="L21" s="2"/>
      <x:c r="M21" s="2"/>
      <x:c r="N21" s="2"/>
      <x:c r="O21" s="2"/>
      <x:c r="P21" s="2"/>
      <x:c r="Q21" s="2"/>
      <x:c r="R21" s="2"/>
      <x:c r="S21" s="2"/>
      <x:c r="T21" s="2"/>
      <x:c r="U21" s="2"/>
      <x:c r="V21" s="2"/>
    </x:row>
    <x:row r="22" ht="58" customHeight="1">
      <x:c r="A22" s="38" t="str">
        <x:v>C05</x:v>
      </x:c>
      <x:c r="B22" s="38" t="str">
        <x:v>需求</x:v>
      </x:c>
      <x:c r="C22" s="38" t="str">
        <x:v>真实分时派件量</x:v>
      </x:c>
      <x:c r="D22" s="38" t="str">
        <x:v>统一假设</x:v>
      </x:c>
      <x:c r="E22" s="38" t="str">
        <x:v>均缺少连续7日实际快递/外卖件量</x:v>
      </x:c>
      <x:c r="F22" s="38" t="str">
        <x:v>基准0.6件/户·日、峰值系数2.0；后续替换</x:v>
      </x:c>
      <x:c r="G22" s="38" t="str">
        <x:v>高</x:v>
      </x:c>
      <x:c r="H22" s="38" t="str">
        <x:v>模型统一参数</x:v>
      </x:c>
      <x:c r="I22" s="38" t="str"/>
      <x:c r="J22" s="2"/>
      <x:c r="K22" s="2"/>
      <x:c r="L22" s="2"/>
      <x:c r="M22" s="2"/>
      <x:c r="N22" s="2"/>
      <x:c r="O22" s="2"/>
      <x:c r="P22" s="2"/>
      <x:c r="Q22" s="2"/>
      <x:c r="R22" s="2"/>
      <x:c r="S22" s="2"/>
      <x:c r="T22" s="2"/>
      <x:c r="U22" s="2"/>
      <x:c r="V22" s="2"/>
    </x:row>
    <x:row r="23">
      <x:c r="A23" s="2"/>
      <x:c r="B23" s="2"/>
      <x:c r="C23" s="2"/>
      <x:c r="D23" s="2"/>
      <x:c r="E23" s="2"/>
      <x:c r="F23" s="2"/>
      <x:c r="G23" s="2"/>
      <x:c r="H23" s="2"/>
      <x:c r="I23" s="2"/>
      <x:c r="J23" s="2"/>
      <x:c r="K23" s="2"/>
      <x:c r="L23" s="2"/>
      <x:c r="M23" s="2"/>
      <x:c r="N23" s="2"/>
      <x:c r="O23" s="2"/>
      <x:c r="P23" s="2"/>
      <x:c r="Q23" s="2"/>
      <x:c r="R23" s="2"/>
      <x:c r="S23" s="2"/>
      <x:c r="T23" s="2"/>
      <x:c r="U23" s="2"/>
      <x:c r="V23" s="2"/>
    </x:row>
    <x:row r="24">
      <x:c r="A24" s="2"/>
      <x:c r="B24" s="2"/>
      <x:c r="C24" s="2"/>
      <x:c r="D24" s="2"/>
      <x:c r="E24" s="2"/>
      <x:c r="F24" s="2"/>
      <x:c r="G24" s="2"/>
      <x:c r="H24" s="2"/>
      <x:c r="I24" s="2"/>
      <x:c r="J24" s="2"/>
      <x:c r="K24" s="2"/>
      <x:c r="L24" s="2"/>
      <x:c r="M24" s="2"/>
      <x:c r="N24" s="2"/>
      <x:c r="O24" s="2"/>
      <x:c r="P24" s="2"/>
      <x:c r="Q24" s="2"/>
      <x:c r="R24" s="2"/>
      <x:c r="S24" s="2"/>
      <x:c r="T24" s="2"/>
      <x:c r="U24" s="2"/>
      <x:c r="V24" s="2"/>
    </x:row>
    <x:row r="25">
      <x:c r="A25" s="2"/>
      <x:c r="B25" s="2"/>
      <x:c r="C25" s="2"/>
      <x:c r="D25" s="2"/>
      <x:c r="E25" s="2"/>
      <x:c r="F25" s="2"/>
      <x:c r="G25" s="2"/>
      <x:c r="H25" s="2"/>
      <x:c r="I25" s="2"/>
      <x:c r="J25" s="2"/>
      <x:c r="K25" s="2"/>
      <x:c r="L25" s="2"/>
      <x:c r="M25" s="2"/>
      <x:c r="N25" s="2"/>
      <x:c r="O25" s="2"/>
      <x:c r="P25" s="2"/>
      <x:c r="Q25" s="2"/>
      <x:c r="R25" s="2"/>
      <x:c r="S25" s="2"/>
      <x:c r="T25" s="2"/>
      <x:c r="U25" s="2"/>
      <x:c r="V25" s="2"/>
    </x:row>
    <x:row r="26">
      <x:c r="A26" s="2"/>
      <x:c r="B26" s="2"/>
      <x:c r="C26" s="2"/>
      <x:c r="D26" s="2"/>
      <x:c r="E26" s="2"/>
      <x:c r="F26" s="2"/>
      <x:c r="G26" s="2"/>
      <x:c r="H26" s="2"/>
      <x:c r="I26" s="2"/>
      <x:c r="J26" s="2"/>
      <x:c r="K26" s="2"/>
      <x:c r="L26" s="2"/>
      <x:c r="M26" s="2"/>
      <x:c r="N26" s="2"/>
      <x:c r="O26" s="2"/>
      <x:c r="P26" s="2"/>
      <x:c r="Q26" s="2"/>
      <x:c r="R26" s="2"/>
      <x:c r="S26" s="2"/>
      <x:c r="T26" s="2"/>
      <x:c r="U26" s="2"/>
      <x:c r="V26" s="2"/>
    </x:row>
    <x:row r="27">
      <x:c r="A27" s="2"/>
      <x:c r="B27" s="2"/>
      <x:c r="C27" s="2"/>
      <x:c r="D27" s="2"/>
      <x:c r="E27" s="2"/>
      <x:c r="F27" s="2"/>
      <x:c r="G27" s="2"/>
      <x:c r="H27" s="2"/>
      <x:c r="I27" s="2"/>
      <x:c r="J27" s="2"/>
      <x:c r="K27" s="2"/>
      <x:c r="L27" s="2"/>
      <x:c r="M27" s="2"/>
      <x:c r="N27" s="2"/>
      <x:c r="O27" s="2"/>
      <x:c r="P27" s="2"/>
      <x:c r="Q27" s="2"/>
      <x:c r="R27" s="2"/>
      <x:c r="S27" s="2"/>
      <x:c r="T27" s="2"/>
      <x:c r="U27" s="2"/>
      <x:c r="V27" s="2"/>
    </x:row>
    <x:row r="28">
      <x:c r="A28" s="2"/>
      <x:c r="B28" s="2"/>
      <x:c r="C28" s="2"/>
      <x:c r="D28" s="2"/>
      <x:c r="E28" s="2"/>
      <x:c r="F28" s="2"/>
      <x:c r="G28" s="2"/>
      <x:c r="H28" s="2"/>
      <x:c r="I28" s="2"/>
      <x:c r="J28" s="2"/>
      <x:c r="K28" s="2"/>
      <x:c r="L28" s="2"/>
      <x:c r="M28" s="2"/>
      <x:c r="N28" s="2"/>
      <x:c r="O28" s="2"/>
      <x:c r="P28" s="2"/>
      <x:c r="Q28" s="2"/>
      <x:c r="R28" s="2"/>
      <x:c r="S28" s="2"/>
      <x:c r="T28" s="2"/>
      <x:c r="U28" s="2"/>
      <x:c r="V28" s="2"/>
    </x:row>
    <x:row r="29">
      <x:c r="A29" s="2"/>
      <x:c r="B29" s="2"/>
      <x:c r="C29" s="2"/>
      <x:c r="D29" s="2"/>
      <x:c r="E29" s="2"/>
      <x:c r="F29" s="2"/>
      <x:c r="G29" s="2"/>
      <x:c r="H29" s="2"/>
      <x:c r="I29" s="2"/>
      <x:c r="J29" s="2"/>
      <x:c r="K29" s="2"/>
      <x:c r="L29" s="2"/>
      <x:c r="M29" s="2"/>
      <x:c r="N29" s="2"/>
      <x:c r="O29" s="2"/>
      <x:c r="P29" s="2"/>
      <x:c r="Q29" s="2"/>
      <x:c r="R29" s="2"/>
      <x:c r="S29" s="2"/>
      <x:c r="T29" s="2"/>
      <x:c r="U29" s="2"/>
      <x:c r="V29" s="2"/>
    </x:row>
    <x:row r="30">
      <x:c r="A30" s="2"/>
      <x:c r="B30" s="2"/>
      <x:c r="C30" s="2"/>
      <x:c r="D30" s="2"/>
      <x:c r="E30" s="2"/>
      <x:c r="F30" s="2"/>
      <x:c r="G30" s="2"/>
      <x:c r="H30" s="2"/>
      <x:c r="I30" s="2"/>
      <x:c r="J30" s="2"/>
      <x:c r="K30" s="2"/>
      <x:c r="L30" s="2"/>
      <x:c r="M30" s="2"/>
      <x:c r="N30" s="2"/>
      <x:c r="O30" s="2"/>
      <x:c r="P30" s="2"/>
      <x:c r="Q30" s="2"/>
      <x:c r="R30" s="2"/>
      <x:c r="S30" s="2"/>
      <x:c r="T30" s="2"/>
      <x:c r="U30" s="2"/>
      <x:c r="V30" s="2"/>
    </x:row>
    <x:row r="31">
      <x:c r="A31" s="2"/>
      <x:c r="B31" s="2"/>
      <x:c r="C31" s="2"/>
      <x:c r="D31" s="2"/>
      <x:c r="E31" s="2"/>
      <x:c r="F31" s="2"/>
      <x:c r="G31" s="2"/>
      <x:c r="H31" s="2"/>
      <x:c r="I31" s="2"/>
      <x:c r="J31" s="2"/>
      <x:c r="K31" s="2"/>
      <x:c r="L31" s="2"/>
      <x:c r="M31" s="2"/>
      <x:c r="N31" s="2"/>
      <x:c r="O31" s="2"/>
      <x:c r="P31" s="2"/>
      <x:c r="Q31" s="2"/>
      <x:c r="R31" s="2"/>
      <x:c r="S31" s="2"/>
      <x:c r="T31" s="2"/>
      <x:c r="U31" s="2"/>
      <x:c r="V31" s="2"/>
    </x:row>
    <x:row r="32">
      <x:c r="A32" s="2"/>
      <x:c r="B32" s="2"/>
      <x:c r="C32" s="2"/>
      <x:c r="D32" s="2"/>
      <x:c r="E32" s="2"/>
      <x:c r="F32" s="2"/>
      <x:c r="G32" s="2"/>
      <x:c r="H32" s="2"/>
      <x:c r="I32" s="2"/>
      <x:c r="J32" s="2"/>
      <x:c r="K32" s="2"/>
      <x:c r="L32" s="2"/>
      <x:c r="M32" s="2"/>
      <x:c r="N32" s="2"/>
      <x:c r="O32" s="2"/>
      <x:c r="P32" s="2"/>
      <x:c r="Q32" s="2"/>
      <x:c r="R32" s="2"/>
      <x:c r="S32" s="2"/>
      <x:c r="T32" s="2"/>
      <x:c r="U32" s="2"/>
      <x:c r="V32" s="2"/>
    </x:row>
    <x:row r="33">
      <x:c r="A33" s="2"/>
      <x:c r="B33" s="2"/>
      <x:c r="C33" s="2"/>
      <x:c r="D33" s="2"/>
      <x:c r="E33" s="2"/>
      <x:c r="F33" s="2"/>
      <x:c r="G33" s="2"/>
      <x:c r="H33" s="2"/>
      <x:c r="I33" s="2"/>
      <x:c r="J33" s="2"/>
      <x:c r="K33" s="2"/>
      <x:c r="L33" s="2"/>
      <x:c r="M33" s="2"/>
      <x:c r="N33" s="2"/>
      <x:c r="O33" s="2"/>
      <x:c r="P33" s="2"/>
      <x:c r="Q33" s="2"/>
      <x:c r="R33" s="2"/>
      <x:c r="S33" s="2"/>
      <x:c r="T33" s="2"/>
      <x:c r="U33" s="2"/>
      <x:c r="V33" s="2"/>
    </x:row>
    <x:row r="34">
      <x:c r="A34" s="2"/>
      <x:c r="B34" s="2"/>
      <x:c r="C34" s="2"/>
      <x:c r="D34" s="2"/>
      <x:c r="E34" s="2"/>
      <x:c r="F34" s="2"/>
      <x:c r="G34" s="2"/>
      <x:c r="H34" s="2"/>
      <x:c r="I34" s="2"/>
      <x:c r="J34" s="2"/>
      <x:c r="K34" s="2"/>
      <x:c r="L34" s="2"/>
      <x:c r="M34" s="2"/>
      <x:c r="N34" s="2"/>
      <x:c r="O34" s="2"/>
      <x:c r="P34" s="2"/>
      <x:c r="Q34" s="2"/>
      <x:c r="R34" s="2"/>
      <x:c r="S34" s="2"/>
      <x:c r="T34" s="2"/>
      <x:c r="U34" s="2"/>
      <x:c r="V34" s="2"/>
    </x:row>
    <x:row r="35">
      <x:c r="A35" s="2"/>
      <x:c r="B35" s="2"/>
      <x:c r="C35" s="2"/>
      <x:c r="D35" s="2"/>
      <x:c r="E35" s="2"/>
      <x:c r="F35" s="2"/>
      <x:c r="G35" s="2"/>
      <x:c r="H35" s="2"/>
      <x:c r="I35" s="2"/>
      <x:c r="J35" s="2"/>
      <x:c r="K35" s="2"/>
      <x:c r="L35" s="2"/>
      <x:c r="M35" s="2"/>
      <x:c r="N35" s="2"/>
      <x:c r="O35" s="2"/>
      <x:c r="P35" s="2"/>
      <x:c r="Q35" s="2"/>
      <x:c r="R35" s="2"/>
      <x:c r="S35" s="2"/>
      <x:c r="T35" s="2"/>
      <x:c r="U35" s="2"/>
      <x:c r="V35" s="2"/>
    </x:row>
    <x:row r="36">
      <x:c r="A36" s="2"/>
      <x:c r="B36" s="2"/>
      <x:c r="C36" s="2"/>
      <x:c r="D36" s="2"/>
      <x:c r="E36" s="2"/>
      <x:c r="F36" s="2"/>
      <x:c r="G36" s="2"/>
      <x:c r="H36" s="2"/>
      <x:c r="I36" s="2"/>
      <x:c r="J36" s="2"/>
      <x:c r="K36" s="2"/>
      <x:c r="L36" s="2"/>
      <x:c r="M36" s="2"/>
      <x:c r="N36" s="2"/>
      <x:c r="O36" s="2"/>
      <x:c r="P36" s="2"/>
      <x:c r="Q36" s="2"/>
      <x:c r="R36" s="2"/>
      <x:c r="S36" s="2"/>
      <x:c r="T36" s="2"/>
      <x:c r="U36" s="2"/>
      <x:c r="V36" s="2"/>
    </x:row>
    <x:row r="37">
      <x:c r="A37" s="2"/>
      <x:c r="B37" s="2"/>
      <x:c r="C37" s="2"/>
      <x:c r="D37" s="2"/>
      <x:c r="E37" s="2"/>
      <x:c r="F37" s="2"/>
      <x:c r="G37" s="2"/>
      <x:c r="H37" s="2"/>
      <x:c r="I37" s="2"/>
      <x:c r="J37" s="2"/>
      <x:c r="K37" s="2"/>
      <x:c r="L37" s="2"/>
      <x:c r="M37" s="2"/>
      <x:c r="N37" s="2"/>
      <x:c r="O37" s="2"/>
      <x:c r="P37" s="2"/>
      <x:c r="Q37" s="2"/>
      <x:c r="R37" s="2"/>
      <x:c r="S37" s="2"/>
      <x:c r="T37" s="2"/>
      <x:c r="U37" s="2"/>
      <x:c r="V37" s="2"/>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row r="66">
      <x:c r="A66" s="2"/>
      <x:c r="B66" s="2"/>
      <x:c r="C66" s="2"/>
      <x:c r="D66" s="2"/>
      <x:c r="E66" s="2"/>
      <x:c r="F66" s="2"/>
      <x:c r="G66" s="2"/>
      <x:c r="H66" s="2"/>
      <x:c r="I66" s="2"/>
      <x:c r="J66" s="2"/>
      <x:c r="K66" s="2"/>
      <x:c r="L66" s="2"/>
      <x:c r="M66" s="2"/>
      <x:c r="N66" s="2"/>
      <x:c r="O66" s="2"/>
      <x:c r="P66" s="2"/>
      <x:c r="Q66" s="2"/>
      <x:c r="R66" s="2"/>
      <x:c r="S66" s="2"/>
      <x:c r="T66" s="2"/>
      <x:c r="U66" s="2"/>
      <x:c r="V66" s="2"/>
    </x:row>
    <x:row r="67">
      <x:c r="A67" s="2"/>
      <x:c r="B67" s="2"/>
      <x:c r="C67" s="2"/>
      <x:c r="D67" s="2"/>
      <x:c r="E67" s="2"/>
      <x:c r="F67" s="2"/>
      <x:c r="G67" s="2"/>
      <x:c r="H67" s="2"/>
      <x:c r="I67" s="2"/>
      <x:c r="J67" s="2"/>
      <x:c r="K67" s="2"/>
      <x:c r="L67" s="2"/>
      <x:c r="M67" s="2"/>
      <x:c r="N67" s="2"/>
      <x:c r="O67" s="2"/>
      <x:c r="P67" s="2"/>
      <x:c r="Q67" s="2"/>
      <x:c r="R67" s="2"/>
      <x:c r="S67" s="2"/>
      <x:c r="T67" s="2"/>
      <x:c r="U67" s="2"/>
      <x:c r="V67" s="2"/>
    </x:row>
    <x:row r="68">
      <x:c r="A68" s="2"/>
      <x:c r="B68" s="2"/>
      <x:c r="C68" s="2"/>
      <x:c r="D68" s="2"/>
      <x:c r="E68" s="2"/>
      <x:c r="F68" s="2"/>
      <x:c r="G68" s="2"/>
      <x:c r="H68" s="2"/>
      <x:c r="I68" s="2"/>
      <x:c r="J68" s="2"/>
      <x:c r="K68" s="2"/>
      <x:c r="L68" s="2"/>
      <x:c r="M68" s="2"/>
      <x:c r="N68" s="2"/>
      <x:c r="O68" s="2"/>
      <x:c r="P68" s="2"/>
      <x:c r="Q68" s="2"/>
      <x:c r="R68" s="2"/>
      <x:c r="S68" s="2"/>
      <x:c r="T68" s="2"/>
      <x:c r="U68" s="2"/>
      <x:c r="V68" s="2"/>
    </x:row>
    <x:row r="69">
      <x:c r="A69" s="2"/>
      <x:c r="B69" s="2"/>
      <x:c r="C69" s="2"/>
      <x:c r="D69" s="2"/>
      <x:c r="E69" s="2"/>
      <x:c r="F69" s="2"/>
      <x:c r="G69" s="2"/>
      <x:c r="H69" s="2"/>
      <x:c r="I69" s="2"/>
      <x:c r="J69" s="2"/>
      <x:c r="K69" s="2"/>
      <x:c r="L69" s="2"/>
      <x:c r="M69" s="2"/>
      <x:c r="N69" s="2"/>
      <x:c r="O69" s="2"/>
      <x:c r="P69" s="2"/>
      <x:c r="Q69" s="2"/>
      <x:c r="R69" s="2"/>
      <x:c r="S69" s="2"/>
      <x:c r="T69" s="2"/>
      <x:c r="U69" s="2"/>
      <x:c r="V69" s="2"/>
    </x:row>
    <x:row r="70">
      <x:c r="A70" s="2"/>
      <x:c r="B70" s="2"/>
      <x:c r="C70" s="2"/>
      <x:c r="D70" s="2"/>
      <x:c r="E70" s="2"/>
      <x:c r="F70" s="2"/>
      <x:c r="G70" s="2"/>
      <x:c r="H70" s="2"/>
      <x:c r="I70" s="2"/>
      <x:c r="J70" s="2"/>
      <x:c r="K70" s="2"/>
      <x:c r="L70" s="2"/>
      <x:c r="M70" s="2"/>
      <x:c r="N70" s="2"/>
      <x:c r="O70" s="2"/>
      <x:c r="P70" s="2"/>
      <x:c r="Q70" s="2"/>
      <x:c r="R70" s="2"/>
      <x:c r="S70" s="2"/>
      <x:c r="T70" s="2"/>
      <x:c r="U70" s="2"/>
      <x:c r="V70" s="2"/>
    </x:row>
    <x:row r="71">
      <x:c r="A71" s="2"/>
      <x:c r="B71" s="2"/>
      <x:c r="C71" s="2"/>
      <x:c r="D71" s="2"/>
      <x:c r="E71" s="2"/>
      <x:c r="F71" s="2"/>
      <x:c r="G71" s="2"/>
      <x:c r="H71" s="2"/>
      <x:c r="I71" s="2"/>
      <x:c r="J71" s="2"/>
      <x:c r="K71" s="2"/>
      <x:c r="L71" s="2"/>
      <x:c r="M71" s="2"/>
      <x:c r="N71" s="2"/>
      <x:c r="O71" s="2"/>
      <x:c r="P71" s="2"/>
      <x:c r="Q71" s="2"/>
      <x:c r="R71" s="2"/>
      <x:c r="S71" s="2"/>
      <x:c r="T71" s="2"/>
      <x:c r="U71" s="2"/>
      <x:c r="V71" s="2"/>
    </x:row>
    <x:row r="72">
      <x:c r="A72" s="2"/>
      <x:c r="B72" s="2"/>
      <x:c r="C72" s="2"/>
      <x:c r="D72" s="2"/>
      <x:c r="E72" s="2"/>
      <x:c r="F72" s="2"/>
      <x:c r="G72" s="2"/>
      <x:c r="H72" s="2"/>
      <x:c r="I72" s="2"/>
      <x:c r="J72" s="2"/>
      <x:c r="K72" s="2"/>
      <x:c r="L72" s="2"/>
      <x:c r="M72" s="2"/>
      <x:c r="N72" s="2"/>
      <x:c r="O72" s="2"/>
      <x:c r="P72" s="2"/>
      <x:c r="Q72" s="2"/>
      <x:c r="R72" s="2"/>
      <x:c r="S72" s="2"/>
      <x:c r="T72" s="2"/>
      <x:c r="U72" s="2"/>
      <x:c r="V72" s="2"/>
    </x:row>
    <x:row r="73">
      <x:c r="A73" s="2"/>
      <x:c r="B73" s="2"/>
      <x:c r="C73" s="2"/>
      <x:c r="D73" s="2"/>
      <x:c r="E73" s="2"/>
      <x:c r="F73" s="2"/>
      <x:c r="G73" s="2"/>
      <x:c r="H73" s="2"/>
      <x:c r="I73" s="2"/>
      <x:c r="J73" s="2"/>
      <x:c r="K73" s="2"/>
      <x:c r="L73" s="2"/>
      <x:c r="M73" s="2"/>
      <x:c r="N73" s="2"/>
      <x:c r="O73" s="2"/>
      <x:c r="P73" s="2"/>
      <x:c r="Q73" s="2"/>
      <x:c r="R73" s="2"/>
      <x:c r="S73" s="2"/>
      <x:c r="T73" s="2"/>
      <x:c r="U73" s="2"/>
      <x:c r="V73" s="2"/>
    </x:row>
    <x:row r="74">
      <x:c r="A74" s="2"/>
      <x:c r="B74" s="2"/>
      <x:c r="C74" s="2"/>
      <x:c r="D74" s="2"/>
      <x:c r="E74" s="2"/>
      <x:c r="F74" s="2"/>
      <x:c r="G74" s="2"/>
      <x:c r="H74" s="2"/>
      <x:c r="I74" s="2"/>
      <x:c r="J74" s="2"/>
      <x:c r="K74" s="2"/>
      <x:c r="L74" s="2"/>
      <x:c r="M74" s="2"/>
      <x:c r="N74" s="2"/>
      <x:c r="O74" s="2"/>
      <x:c r="P74" s="2"/>
      <x:c r="Q74" s="2"/>
      <x:c r="R74" s="2"/>
      <x:c r="S74" s="2"/>
      <x:c r="T74" s="2"/>
      <x:c r="U74" s="2"/>
      <x:c r="V74" s="2"/>
    </x:row>
    <x:row r="75">
      <x:c r="A75" s="2"/>
      <x:c r="B75" s="2"/>
      <x:c r="C75" s="2"/>
      <x:c r="D75" s="2"/>
      <x:c r="E75" s="2"/>
      <x:c r="F75" s="2"/>
      <x:c r="G75" s="2"/>
      <x:c r="H75" s="2"/>
      <x:c r="I75" s="2"/>
      <x:c r="J75" s="2"/>
      <x:c r="K75" s="2"/>
      <x:c r="L75" s="2"/>
      <x:c r="M75" s="2"/>
      <x:c r="N75" s="2"/>
      <x:c r="O75" s="2"/>
      <x:c r="P75" s="2"/>
      <x:c r="Q75" s="2"/>
      <x:c r="R75" s="2"/>
      <x:c r="S75" s="2"/>
      <x:c r="T75" s="2"/>
      <x:c r="U75" s="2"/>
      <x:c r="V75" s="2"/>
    </x:row>
    <x:row r="76">
      <x:c r="A76" s="2"/>
      <x:c r="B76" s="2"/>
      <x:c r="C76" s="2"/>
      <x:c r="D76" s="2"/>
      <x:c r="E76" s="2"/>
      <x:c r="F76" s="2"/>
      <x:c r="G76" s="2"/>
      <x:c r="H76" s="2"/>
      <x:c r="I76" s="2"/>
      <x:c r="J76" s="2"/>
      <x:c r="K76" s="2"/>
      <x:c r="L76" s="2"/>
      <x:c r="M76" s="2"/>
      <x:c r="N76" s="2"/>
      <x:c r="O76" s="2"/>
      <x:c r="P76" s="2"/>
      <x:c r="Q76" s="2"/>
      <x:c r="R76" s="2"/>
      <x:c r="S76" s="2"/>
      <x:c r="T76" s="2"/>
      <x:c r="U76" s="2"/>
      <x:c r="V76" s="2"/>
    </x:row>
    <x:row r="77">
      <x:c r="A77" s="2"/>
      <x:c r="B77" s="2"/>
      <x:c r="C77" s="2"/>
      <x:c r="D77" s="2"/>
      <x:c r="E77" s="2"/>
      <x:c r="F77" s="2"/>
      <x:c r="G77" s="2"/>
      <x:c r="H77" s="2"/>
      <x:c r="I77" s="2"/>
      <x:c r="J77" s="2"/>
      <x:c r="K77" s="2"/>
      <x:c r="L77" s="2"/>
      <x:c r="M77" s="2"/>
      <x:c r="N77" s="2"/>
      <x:c r="O77" s="2"/>
      <x:c r="P77" s="2"/>
      <x:c r="Q77" s="2"/>
      <x:c r="R77" s="2"/>
      <x:c r="S77" s="2"/>
      <x:c r="T77" s="2"/>
      <x:c r="U77" s="2"/>
      <x:c r="V77" s="2"/>
    </x:row>
    <x:row r="78">
      <x:c r="A78" s="2"/>
      <x:c r="B78" s="2"/>
      <x:c r="C78" s="2"/>
      <x:c r="D78" s="2"/>
      <x:c r="E78" s="2"/>
      <x:c r="F78" s="2"/>
      <x:c r="G78" s="2"/>
      <x:c r="H78" s="2"/>
      <x:c r="I78" s="2"/>
      <x:c r="J78" s="2"/>
      <x:c r="K78" s="2"/>
      <x:c r="L78" s="2"/>
      <x:c r="M78" s="2"/>
      <x:c r="N78" s="2"/>
      <x:c r="O78" s="2"/>
      <x:c r="P78" s="2"/>
      <x:c r="Q78" s="2"/>
      <x:c r="R78" s="2"/>
      <x:c r="S78" s="2"/>
      <x:c r="T78" s="2"/>
      <x:c r="U78" s="2"/>
      <x:c r="V78" s="2"/>
    </x:row>
    <x:row r="79">
      <x:c r="A79" s="2"/>
      <x:c r="B79" s="2"/>
      <x:c r="C79" s="2"/>
      <x:c r="D79" s="2"/>
      <x:c r="E79" s="2"/>
      <x:c r="F79" s="2"/>
      <x:c r="G79" s="2"/>
      <x:c r="H79" s="2"/>
      <x:c r="I79" s="2"/>
      <x:c r="J79" s="2"/>
      <x:c r="K79" s="2"/>
      <x:c r="L79" s="2"/>
      <x:c r="M79" s="2"/>
      <x:c r="N79" s="2"/>
      <x:c r="O79" s="2"/>
      <x:c r="P79" s="2"/>
      <x:c r="Q79" s="2"/>
      <x:c r="R79" s="2"/>
      <x:c r="S79" s="2"/>
      <x:c r="T79" s="2"/>
      <x:c r="U79" s="2"/>
      <x:c r="V79" s="2"/>
    </x:row>
    <x:row r="80">
      <x:c r="A80" s="2"/>
      <x:c r="B80" s="2"/>
      <x:c r="C80" s="2"/>
      <x:c r="D80" s="2"/>
      <x:c r="E80" s="2"/>
      <x:c r="F80" s="2"/>
      <x:c r="G80" s="2"/>
      <x:c r="H80" s="2"/>
      <x:c r="I80" s="2"/>
      <x:c r="J80" s="2"/>
      <x:c r="K80" s="2"/>
      <x:c r="L80" s="2"/>
      <x:c r="M80" s="2"/>
      <x:c r="N80" s="2"/>
      <x:c r="O80" s="2"/>
      <x:c r="P80" s="2"/>
      <x:c r="Q80" s="2"/>
      <x:c r="R80" s="2"/>
      <x:c r="S80" s="2"/>
      <x:c r="T80" s="2"/>
      <x:c r="U80" s="2"/>
      <x:c r="V80" s="2"/>
    </x:row>
    <x:row r="81">
      <x:c r="A81" s="2"/>
      <x:c r="B81" s="2"/>
      <x:c r="C81" s="2"/>
      <x:c r="D81" s="2"/>
      <x:c r="E81" s="2"/>
      <x:c r="F81" s="2"/>
      <x:c r="G81" s="2"/>
      <x:c r="H81" s="2"/>
      <x:c r="I81" s="2"/>
      <x:c r="J81" s="2"/>
      <x:c r="K81" s="2"/>
      <x:c r="L81" s="2"/>
      <x:c r="M81" s="2"/>
      <x:c r="N81" s="2"/>
      <x:c r="O81" s="2"/>
      <x:c r="P81" s="2"/>
      <x:c r="Q81" s="2"/>
      <x:c r="R81" s="2"/>
      <x:c r="S81" s="2"/>
      <x:c r="T81" s="2"/>
      <x:c r="U81" s="2"/>
      <x:c r="V81" s="2"/>
    </x:row>
    <x:row r="82">
      <x:c r="A82" s="2"/>
      <x:c r="B82" s="2"/>
      <x:c r="C82" s="2"/>
      <x:c r="D82" s="2"/>
      <x:c r="E82" s="2"/>
      <x:c r="F82" s="2"/>
      <x:c r="G82" s="2"/>
      <x:c r="H82" s="2"/>
      <x:c r="I82" s="2"/>
      <x:c r="J82" s="2"/>
      <x:c r="K82" s="2"/>
      <x:c r="L82" s="2"/>
      <x:c r="M82" s="2"/>
      <x:c r="N82" s="2"/>
      <x:c r="O82" s="2"/>
      <x:c r="P82" s="2"/>
      <x:c r="Q82" s="2"/>
      <x:c r="R82" s="2"/>
      <x:c r="S82" s="2"/>
      <x:c r="T82" s="2"/>
      <x:c r="U82" s="2"/>
      <x:c r="V82" s="2"/>
    </x:row>
    <x:row r="83">
      <x:c r="A83" s="2"/>
      <x:c r="B83" s="2"/>
      <x:c r="C83" s="2"/>
      <x:c r="D83" s="2"/>
      <x:c r="E83" s="2"/>
      <x:c r="F83" s="2"/>
      <x:c r="G83" s="2"/>
      <x:c r="H83" s="2"/>
      <x:c r="I83" s="2"/>
      <x:c r="J83" s="2"/>
      <x:c r="K83" s="2"/>
      <x:c r="L83" s="2"/>
      <x:c r="M83" s="2"/>
      <x:c r="N83" s="2"/>
      <x:c r="O83" s="2"/>
      <x:c r="P83" s="2"/>
      <x:c r="Q83" s="2"/>
      <x:c r="R83" s="2"/>
      <x:c r="S83" s="2"/>
      <x:c r="T83" s="2"/>
      <x:c r="U83" s="2"/>
      <x:c r="V83" s="2"/>
    </x:row>
    <x:row r="84">
      <x:c r="A84" s="2"/>
      <x:c r="B84" s="2"/>
      <x:c r="C84" s="2"/>
      <x:c r="D84" s="2"/>
      <x:c r="E84" s="2"/>
      <x:c r="F84" s="2"/>
      <x:c r="G84" s="2"/>
      <x:c r="H84" s="2"/>
      <x:c r="I84" s="2"/>
      <x:c r="J84" s="2"/>
      <x:c r="K84" s="2"/>
      <x:c r="L84" s="2"/>
      <x:c r="M84" s="2"/>
      <x:c r="N84" s="2"/>
      <x:c r="O84" s="2"/>
      <x:c r="P84" s="2"/>
      <x:c r="Q84" s="2"/>
      <x:c r="R84" s="2"/>
      <x:c r="S84" s="2"/>
      <x:c r="T84" s="2"/>
      <x:c r="U84" s="2"/>
      <x:c r="V84" s="2"/>
    </x:row>
    <x:row r="85">
      <x:c r="A85" s="2"/>
      <x:c r="B85" s="2"/>
      <x:c r="C85" s="2"/>
      <x:c r="D85" s="2"/>
      <x:c r="E85" s="2"/>
      <x:c r="F85" s="2"/>
      <x:c r="G85" s="2"/>
      <x:c r="H85" s="2"/>
      <x:c r="I85" s="2"/>
      <x:c r="J85" s="2"/>
      <x:c r="K85" s="2"/>
      <x:c r="L85" s="2"/>
      <x:c r="M85" s="2"/>
      <x:c r="N85" s="2"/>
      <x:c r="O85" s="2"/>
      <x:c r="P85" s="2"/>
      <x:c r="Q85" s="2"/>
      <x:c r="R85" s="2"/>
      <x:c r="S85" s="2"/>
      <x:c r="T85" s="2"/>
      <x:c r="U85" s="2"/>
      <x:c r="V85" s="2"/>
    </x:row>
    <x:row r="86">
      <x:c r="A86" s="2"/>
      <x:c r="B86" s="2"/>
      <x:c r="C86" s="2"/>
      <x:c r="D86" s="2"/>
      <x:c r="E86" s="2"/>
      <x:c r="F86" s="2"/>
      <x:c r="G86" s="2"/>
      <x:c r="H86" s="2"/>
      <x:c r="I86" s="2"/>
      <x:c r="J86" s="2"/>
      <x:c r="K86" s="2"/>
      <x:c r="L86" s="2"/>
      <x:c r="M86" s="2"/>
      <x:c r="N86" s="2"/>
      <x:c r="O86" s="2"/>
      <x:c r="P86" s="2"/>
      <x:c r="Q86" s="2"/>
      <x:c r="R86" s="2"/>
      <x:c r="S86" s="2"/>
      <x:c r="T86" s="2"/>
      <x:c r="U86" s="2"/>
      <x:c r="V86" s="2"/>
    </x:row>
    <x:row r="87">
      <x:c r="A87" s="2"/>
      <x:c r="B87" s="2"/>
      <x:c r="C87" s="2"/>
      <x:c r="D87" s="2"/>
      <x:c r="E87" s="2"/>
      <x:c r="F87" s="2"/>
      <x:c r="G87" s="2"/>
      <x:c r="H87" s="2"/>
      <x:c r="I87" s="2"/>
      <x:c r="J87" s="2"/>
      <x:c r="K87" s="2"/>
      <x:c r="L87" s="2"/>
      <x:c r="M87" s="2"/>
      <x:c r="N87" s="2"/>
      <x:c r="O87" s="2"/>
      <x:c r="P87" s="2"/>
      <x:c r="Q87" s="2"/>
      <x:c r="R87" s="2"/>
      <x:c r="S87" s="2"/>
      <x:c r="T87" s="2"/>
      <x:c r="U87" s="2"/>
      <x:c r="V87" s="2"/>
    </x:row>
    <x:row r="88">
      <x:c r="A88" s="2"/>
      <x:c r="B88" s="2"/>
      <x:c r="C88" s="2"/>
      <x:c r="D88" s="2"/>
      <x:c r="E88" s="2"/>
      <x:c r="F88" s="2"/>
      <x:c r="G88" s="2"/>
      <x:c r="H88" s="2"/>
      <x:c r="I88" s="2"/>
      <x:c r="J88" s="2"/>
      <x:c r="K88" s="2"/>
      <x:c r="L88" s="2"/>
      <x:c r="M88" s="2"/>
      <x:c r="N88" s="2"/>
      <x:c r="O88" s="2"/>
      <x:c r="P88" s="2"/>
      <x:c r="Q88" s="2"/>
      <x:c r="R88" s="2"/>
      <x:c r="S88" s="2"/>
      <x:c r="T88" s="2"/>
      <x:c r="U88" s="2"/>
      <x:c r="V88" s="2"/>
    </x:row>
    <x:row r="89">
      <x:c r="A89" s="2"/>
      <x:c r="B89" s="2"/>
      <x:c r="C89" s="2"/>
      <x:c r="D89" s="2"/>
      <x:c r="E89" s="2"/>
      <x:c r="F89" s="2"/>
      <x:c r="G89" s="2"/>
      <x:c r="H89" s="2"/>
      <x:c r="I89" s="2"/>
      <x:c r="J89" s="2"/>
      <x:c r="K89" s="2"/>
      <x:c r="L89" s="2"/>
      <x:c r="M89" s="2"/>
      <x:c r="N89" s="2"/>
      <x:c r="O89" s="2"/>
      <x:c r="P89" s="2"/>
      <x:c r="Q89" s="2"/>
      <x:c r="R89" s="2"/>
      <x:c r="S89" s="2"/>
      <x:c r="T89" s="2"/>
      <x:c r="U89" s="2"/>
      <x:c r="V89" s="2"/>
    </x:row>
    <x:row r="90">
      <x:c r="A90" s="2"/>
      <x:c r="B90" s="2"/>
      <x:c r="C90" s="2"/>
      <x:c r="D90" s="2"/>
      <x:c r="E90" s="2"/>
      <x:c r="F90" s="2"/>
      <x:c r="G90" s="2"/>
      <x:c r="H90" s="2"/>
      <x:c r="I90" s="2"/>
      <x:c r="J90" s="2"/>
      <x:c r="K90" s="2"/>
      <x:c r="L90" s="2"/>
      <x:c r="M90" s="2"/>
      <x:c r="N90" s="2"/>
      <x:c r="O90" s="2"/>
      <x:c r="P90" s="2"/>
      <x:c r="Q90" s="2"/>
      <x:c r="R90" s="2"/>
      <x:c r="S90" s="2"/>
      <x:c r="T90" s="2"/>
      <x:c r="U90" s="2"/>
      <x:c r="V90" s="2"/>
    </x:row>
    <x:row r="91">
      <x:c r="A91" s="2"/>
      <x:c r="B91" s="2"/>
      <x:c r="C91" s="2"/>
      <x:c r="D91" s="2"/>
      <x:c r="E91" s="2"/>
      <x:c r="F91" s="2"/>
      <x:c r="G91" s="2"/>
      <x:c r="H91" s="2"/>
      <x:c r="I91" s="2"/>
      <x:c r="J91" s="2"/>
      <x:c r="K91" s="2"/>
      <x:c r="L91" s="2"/>
      <x:c r="M91" s="2"/>
      <x:c r="N91" s="2"/>
      <x:c r="O91" s="2"/>
      <x:c r="P91" s="2"/>
      <x:c r="Q91" s="2"/>
      <x:c r="R91" s="2"/>
      <x:c r="S91" s="2"/>
      <x:c r="T91" s="2"/>
      <x:c r="U91" s="2"/>
      <x:c r="V91" s="2"/>
    </x:row>
    <x:row r="92">
      <x:c r="A92" s="2"/>
      <x:c r="B92" s="2"/>
      <x:c r="C92" s="2"/>
      <x:c r="D92" s="2"/>
      <x:c r="E92" s="2"/>
      <x:c r="F92" s="2"/>
      <x:c r="G92" s="2"/>
      <x:c r="H92" s="2"/>
      <x:c r="I92" s="2"/>
      <x:c r="J92" s="2"/>
      <x:c r="K92" s="2"/>
      <x:c r="L92" s="2"/>
      <x:c r="M92" s="2"/>
      <x:c r="N92" s="2"/>
      <x:c r="O92" s="2"/>
      <x:c r="P92" s="2"/>
      <x:c r="Q92" s="2"/>
      <x:c r="R92" s="2"/>
      <x:c r="S92" s="2"/>
      <x:c r="T92" s="2"/>
      <x:c r="U92" s="2"/>
      <x:c r="V92" s="2"/>
    </x:row>
    <x:row r="93">
      <x:c r="A93" s="2"/>
      <x:c r="B93" s="2"/>
      <x:c r="C93" s="2"/>
      <x:c r="D93" s="2"/>
      <x:c r="E93" s="2"/>
      <x:c r="F93" s="2"/>
      <x:c r="G93" s="2"/>
      <x:c r="H93" s="2"/>
      <x:c r="I93" s="2"/>
      <x:c r="J93" s="2"/>
      <x:c r="K93" s="2"/>
      <x:c r="L93" s="2"/>
      <x:c r="M93" s="2"/>
      <x:c r="N93" s="2"/>
      <x:c r="O93" s="2"/>
      <x:c r="P93" s="2"/>
      <x:c r="Q93" s="2"/>
      <x:c r="R93" s="2"/>
      <x:c r="S93" s="2"/>
      <x:c r="T93" s="2"/>
      <x:c r="U93" s="2"/>
      <x:c r="V93" s="2"/>
    </x:row>
    <x:row r="94">
      <x:c r="A94" s="2"/>
      <x:c r="B94" s="2"/>
      <x:c r="C94" s="2"/>
      <x:c r="D94" s="2"/>
      <x:c r="E94" s="2"/>
      <x:c r="F94" s="2"/>
      <x:c r="G94" s="2"/>
      <x:c r="H94" s="2"/>
      <x:c r="I94" s="2"/>
      <x:c r="J94" s="2"/>
      <x:c r="K94" s="2"/>
      <x:c r="L94" s="2"/>
      <x:c r="M94" s="2"/>
      <x:c r="N94" s="2"/>
      <x:c r="O94" s="2"/>
      <x:c r="P94" s="2"/>
      <x:c r="Q94" s="2"/>
      <x:c r="R94" s="2"/>
      <x:c r="S94" s="2"/>
      <x:c r="T94" s="2"/>
      <x:c r="U94" s="2"/>
      <x:c r="V94" s="2"/>
    </x:row>
    <x:row r="95">
      <x:c r="A95" s="2"/>
      <x:c r="B95" s="2"/>
      <x:c r="C95" s="2"/>
      <x:c r="D95" s="2"/>
      <x:c r="E95" s="2"/>
      <x:c r="F95" s="2"/>
      <x:c r="G95" s="2"/>
      <x:c r="H95" s="2"/>
      <x:c r="I95" s="2"/>
      <x:c r="J95" s="2"/>
      <x:c r="K95" s="2"/>
      <x:c r="L95" s="2"/>
      <x:c r="M95" s="2"/>
      <x:c r="N95" s="2"/>
      <x:c r="O95" s="2"/>
      <x:c r="P95" s="2"/>
      <x:c r="Q95" s="2"/>
      <x:c r="R95" s="2"/>
      <x:c r="S95" s="2"/>
      <x:c r="T95" s="2"/>
      <x:c r="U95" s="2"/>
      <x:c r="V95" s="2"/>
    </x:row>
    <x:row r="96">
      <x:c r="A96" s="2"/>
      <x:c r="B96" s="2"/>
      <x:c r="C96" s="2"/>
      <x:c r="D96" s="2"/>
      <x:c r="E96" s="2"/>
      <x:c r="F96" s="2"/>
      <x:c r="G96" s="2"/>
      <x:c r="H96" s="2"/>
      <x:c r="I96" s="2"/>
      <x:c r="J96" s="2"/>
      <x:c r="K96" s="2"/>
      <x:c r="L96" s="2"/>
      <x:c r="M96" s="2"/>
      <x:c r="N96" s="2"/>
      <x:c r="O96" s="2"/>
      <x:c r="P96" s="2"/>
      <x:c r="Q96" s="2"/>
      <x:c r="R96" s="2"/>
      <x:c r="S96" s="2"/>
      <x:c r="T96" s="2"/>
      <x:c r="U96" s="2"/>
      <x:c r="V96" s="2"/>
    </x:row>
    <x:row r="97">
      <x:c r="A97" s="2"/>
      <x:c r="B97" s="2"/>
      <x:c r="C97" s="2"/>
      <x:c r="D97" s="2"/>
      <x:c r="E97" s="2"/>
      <x:c r="F97" s="2"/>
      <x:c r="G97" s="2"/>
      <x:c r="H97" s="2"/>
      <x:c r="I97" s="2"/>
      <x:c r="J97" s="2"/>
      <x:c r="K97" s="2"/>
      <x:c r="L97" s="2"/>
      <x:c r="M97" s="2"/>
      <x:c r="N97" s="2"/>
      <x:c r="O97" s="2"/>
      <x:c r="P97" s="2"/>
      <x:c r="Q97" s="2"/>
      <x:c r="R97" s="2"/>
      <x:c r="S97" s="2"/>
      <x:c r="T97" s="2"/>
      <x:c r="U97" s="2"/>
      <x:c r="V97" s="2"/>
    </x:row>
    <x:row r="98">
      <x:c r="A98" s="2"/>
      <x:c r="B98" s="2"/>
      <x:c r="C98" s="2"/>
      <x:c r="D98" s="2"/>
      <x:c r="E98" s="2"/>
      <x:c r="F98" s="2"/>
      <x:c r="G98" s="2"/>
      <x:c r="H98" s="2"/>
      <x:c r="I98" s="2"/>
      <x:c r="J98" s="2"/>
      <x:c r="K98" s="2"/>
      <x:c r="L98" s="2"/>
      <x:c r="M98" s="2"/>
      <x:c r="N98" s="2"/>
      <x:c r="O98" s="2"/>
      <x:c r="P98" s="2"/>
      <x:c r="Q98" s="2"/>
      <x:c r="R98" s="2"/>
      <x:c r="S98" s="2"/>
      <x:c r="T98" s="2"/>
      <x:c r="U98" s="2"/>
      <x:c r="V98" s="2"/>
    </x:row>
    <x:row r="99">
      <x:c r="A99" s="2"/>
      <x:c r="B99" s="2"/>
      <x:c r="C99" s="2"/>
      <x:c r="D99" s="2"/>
      <x:c r="E99" s="2"/>
      <x:c r="F99" s="2"/>
      <x:c r="G99" s="2"/>
      <x:c r="H99" s="2"/>
      <x:c r="I99" s="2"/>
      <x:c r="J99" s="2"/>
      <x:c r="K99" s="2"/>
      <x:c r="L99" s="2"/>
      <x:c r="M99" s="2"/>
      <x:c r="N99" s="2"/>
      <x:c r="O99" s="2"/>
      <x:c r="P99" s="2"/>
      <x:c r="Q99" s="2"/>
      <x:c r="R99" s="2"/>
      <x:c r="S99" s="2"/>
      <x:c r="T99" s="2"/>
      <x:c r="U99" s="2"/>
      <x:c r="V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row>
  </x:sheetData>
  <x:conditionalFormatting sqref="G6:G22">
    <x:cfRule type="containsText" dxfId="8" priority="1" operator="containsText" text="高"/>
  </x:conditionalFormatting>
  <x:conditionalFormatting sqref="D6:D22">
    <x:cfRule type="containsText" dxfId="9" priority="2" operator="containsText" text="情景"/>
  </x:conditionalFormatting>
  <x:pageMargins left="0.7" right="0.7" top="0.75" bottom="0.75" header="0.3" footer="0.3"/>
  <x:tableParts count="1">
    <x:tablePart xmlns:r="http://schemas.openxmlformats.org/officeDocument/2006/relationships" r:id="R67ea66b37aa04aa3"/>
  </x:tableParts>
</x:worksheet>
</file>