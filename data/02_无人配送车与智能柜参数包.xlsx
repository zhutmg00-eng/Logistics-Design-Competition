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daedb4742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完成度" sheetId="1" r:id="Re0f0297b6fda4fdd"/>
    <x:sheet xmlns:r="http://schemas.openxmlformats.org/officeDocument/2006/relationships" name="01-模型采用参数" sheetId="2" r:id="Rb1bf2eeb675f4088"/>
    <x:sheet xmlns:r="http://schemas.openxmlformats.org/officeDocument/2006/relationships" name="02-无人车参数" sheetId="3" r:id="Rc3035c6050794df4"/>
    <x:sheet xmlns:r="http://schemas.openxmlformats.org/officeDocument/2006/relationships" name="03-智能柜参数" sheetId="4" r:id="R8f30c9bb9f8d4aeb"/>
    <x:sheet xmlns:r="http://schemas.openxmlformats.org/officeDocument/2006/relationships" name="04-采购成本" sheetId="5" r:id="R31cf9af31c1a456c"/>
    <x:sheet xmlns:r="http://schemas.openxmlformats.org/officeDocument/2006/relationships" name="05-运营成本" sheetId="6" r:id="R8e58af2bfad24b8f"/>
    <x:sheet xmlns:r="http://schemas.openxmlformats.org/officeDocument/2006/relationships" name="06-能源人力" sheetId="7" r:id="Rb35920aeba1449df"/>
    <x:sheet xmlns:r="http://schemas.openxmlformats.org/officeDocument/2006/relationships" name="07-来源目录" sheetId="8" r:id="R7fcb685c66944215"/>
    <x:sheet xmlns:r="http://schemas.openxmlformats.org/officeDocument/2006/relationships" name="08-缺口清单" sheetId="9" r:id="Rf4991c530650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.00"/>
  </x:numFmts>
  <x:fonts count="7">
    <x:font>
      <x:sz val="11"/>
      <x:name val="Carlito"/>
    </x:font>
    <x:font>
      <x:b/>
      <x:sz val="16"/>
      <x:color rgb="FF1F4E78"/>
      <x:name val="Microsoft YaHei"/>
    </x:font>
    <x:font>
      <x:i/>
      <x:sz val="9"/>
      <x:color rgb="FF5B6573"/>
      <x:name val="Microsoft YaHei"/>
    </x:font>
    <x:font>
      <x:b/>
      <x:sz val="13"/>
      <x:color rgb="FF1F4E78"/>
      <x:name val="Microsoft YaHei"/>
    </x:font>
    <x:font>
      <x:sz val="9"/>
      <x:color rgb="FF1F2937"/>
      <x:name val="Microsoft YaHei"/>
    </x:font>
    <x:font>
      <x:b/>
      <x:sz val="9"/>
      <x:color rgb="FFFFFFFF"/>
      <x:name val="Microsoft YaHei"/>
    </x:font>
    <x:font>
      <x:b/>
      <x:sz val="10"/>
      <x:color rgb="FF1F4E7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EF5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202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cc1e4cd754016" /><Relationship Type="http://schemas.openxmlformats.org/officeDocument/2006/relationships/theme" Target="/xl/theme/theme1.xml" Id="Rc3e7635d674e4502" /><Relationship Type="http://schemas.openxmlformats.org/officeDocument/2006/relationships/sharedStrings" Target="/xl/sharedStrings.xml" Id="R7c3a619df0554006" /><Relationship Type="http://schemas.openxmlformats.org/officeDocument/2006/relationships/worksheet" Target="/xl/worksheets/sheet1.xml" Id="Re0f0297b6fda4fdd" /><Relationship Type="http://schemas.openxmlformats.org/officeDocument/2006/relationships/worksheet" Target="/xl/worksheets/sheet2.xml" Id="Rb1bf2eeb675f4088" /><Relationship Type="http://schemas.openxmlformats.org/officeDocument/2006/relationships/worksheet" Target="/xl/worksheets/sheet3.xml" Id="Rc3035c6050794df4" /><Relationship Type="http://schemas.openxmlformats.org/officeDocument/2006/relationships/worksheet" Target="/xl/worksheets/sheet4.xml" Id="R8f30c9bb9f8d4aeb" /><Relationship Type="http://schemas.openxmlformats.org/officeDocument/2006/relationships/worksheet" Target="/xl/worksheets/sheet5.xml" Id="R31cf9af31c1a456c" /><Relationship Type="http://schemas.openxmlformats.org/officeDocument/2006/relationships/worksheet" Target="/xl/worksheets/sheet6.xml" Id="R8e58af2bfad24b8f" /><Relationship Type="http://schemas.openxmlformats.org/officeDocument/2006/relationships/worksheet" Target="/xl/worksheets/sheet7.xml" Id="Rb35920aeba1449df" /><Relationship Type="http://schemas.openxmlformats.org/officeDocument/2006/relationships/worksheet" Target="/xl/worksheets/sheet8.xml" Id="R7fcb685c66944215" /><Relationship Type="http://schemas.openxmlformats.org/officeDocument/2006/relationships/worksheet" Target="/xl/worksheets/sheet9.xml" Id="Rf4991c53065040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ccaac84af349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设备参数分项完成度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'00-完成度'!$A$10:$A$21</c:f>
              <c:strCache>
                <c:ptCount val="0"/>
              </c:strCache>
            </c:strRef>
          </c:cat>
          <c:val>
            <c:numRef>
              <c:f>'00-完成度'!$E$10:$E$21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ccaac84af349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quipmentCoverage" displayName="EquipmentCoverage" ref="A9:F21" headerRowCount="1" totalsRowCount="0" totalsRowShown="0">
  <x:autoFilter ref="A9:F21"/>
  <x:tableColumns count="6">
    <x:tableColumn id="1" name="参数组"/>
    <x:tableColumn id="2" name="状态"/>
    <x:tableColumn id="3" name="当前来源"/>
    <x:tableColumn id="4" name="使用限制"/>
    <x:tableColumn id="5" name="计分"/>
    <x:tableColumn id="6" name="对应模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quipmentCorrections" displayName="EquipmentCorrections" ref="A25:F29" headerRowCount="1" totalsRowCount="0" totalsRowShown="0">
  <x:autoFilter ref="A25:F29"/>
  <x:tableColumns count="6">
    <x:tableColumn id="1" name="问题"/>
    <x:tableColumn id="2" name="正确处理"/>
    <x:tableColumn id="3" name="模型影响"/>
    <x:tableColumn id="4" name="是否已处理"/>
    <x:tableColumn id="5" name="仍需证据"/>
    <x:tableColumn id="6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Parameters" displayName="ModelParameters" ref="A5:L26" headerRowCount="1" totalsRowCount="0" totalsRowShown="0">
  <x:autoFilter ref="A5:L26"/>
  <x:tableColumns count="12">
    <x:tableColumn id="1" name="参数代码"/>
    <x:tableColumn id="2" name="对象"/>
    <x:tableColumn id="3" name="参数名称"/>
    <x:tableColumn id="4" name="下限"/>
    <x:tableColumn id="5" name="基准值"/>
    <x:tableColumn id="6" name="上限"/>
    <x:tableColumn id="7" name="单位"/>
    <x:tableColumn id="8" name="适用条件/口径"/>
    <x:tableColumn id="9" name="来源ID"/>
    <x:tableColumn id="10" name="对应模型"/>
    <x:tableColumn id="11" name="参数类型"/>
    <x:tableColumn id="12" name="待核事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02Table" displayName="Eq02Table" ref="A5:J24" headerRowCount="1" totalsRowCount="0" totalsRowShown="0">
  <x:autoFilter ref="A5:J24"/>
  <x:tableColumns count="10">
    <x:tableColumn id="1" name="参数类别"/>
    <x:tableColumn id="2" name="参数项"/>
    <x:tableColumn id="3" name="新石器 X3"/>
    <x:tableColumn id="4" name="新石器 X6"/>
    <x:tableColumn id="5" name="文远知行 W5"/>
    <x:tableColumn id="6" name="来源"/>
    <x:tableColumn id="7" name="等级"/>
    <x:tableColumn id="8" name="模型用途"/>
    <x:tableColumn id="9" name="备注"/>
    <x:tableColumn id="10" name="来源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q03Table" displayName="Eq03Table" ref="A5:I22" headerRowCount="1" totalsRowCount="0" totalsRowShown="0">
  <x:autoFilter ref="A5:I22"/>
  <x:tableColumns count="9">
    <x:tableColumn id="1" name="参数类别"/>
    <x:tableColumn id="2" name="参数项"/>
    <x:tableColumn id="3" name="丰巢（社区型）"/>
    <x:tableColumn id="4" name="近邻宝（社区型）"/>
    <x:tableColumn id="5" name="来源"/>
    <x:tableColumn id="6" name="等级"/>
    <x:tableColumn id="7" name="模型用途"/>
    <x:tableColumn id="8" name="备注"/>
    <x:tableColumn id="9" name="来源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q04Table" displayName="Eq04Table" ref="A5:J36" headerRowCount="1" totalsRowCount="0" totalsRowShown="0">
  <x:autoFilter ref="A5:J36"/>
  <x:tableColumns count="10">
    <x:tableColumn id="1" name="参数类别"/>
    <x:tableColumn id="2" name="参数项"/>
    <x:tableColumn id="3" name="数值 / 区间"/>
    <x:tableColumn id="4" name="单位"/>
    <x:tableColumn id="5" name="推荐取值"/>
    <x:tableColumn id="6" name="来源"/>
    <x:tableColumn id="7" name="等级"/>
    <x:tableColumn id="8" name="模型用途"/>
    <x:tableColumn id="9" name="备注"/>
    <x:tableColumn id="10" name="来源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q05Table" displayName="Eq05Table" ref="A5:J38" headerRowCount="1" totalsRowCount="0" totalsRowShown="0">
  <x:autoFilter ref="A5:J38"/>
  <x:tableColumns count="10">
    <x:tableColumn id="1" name="参数类别"/>
    <x:tableColumn id="2" name="参数项"/>
    <x:tableColumn id="3" name="数值 / 区间"/>
    <x:tableColumn id="4" name="单位"/>
    <x:tableColumn id="5" name="推荐取值"/>
    <x:tableColumn id="6" name="来源"/>
    <x:tableColumn id="7" name="等级"/>
    <x:tableColumn id="8" name="模型用途"/>
    <x:tableColumn id="9" name="备注"/>
    <x:tableColumn id="10" name="来源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q06Table" displayName="Eq06Table" ref="A5:J34" headerRowCount="1" totalsRowCount="0" totalsRowShown="0">
  <x:autoFilter ref="A5:J34"/>
  <x:tableColumns count="10">
    <x:tableColumn id="1" name="参数类别"/>
    <x:tableColumn id="2" name="参数项"/>
    <x:tableColumn id="3" name="数值 / 区间"/>
    <x:tableColumn id="4" name="单位"/>
    <x:tableColumn id="5" name="推荐取值"/>
    <x:tableColumn id="6" name="来源"/>
    <x:tableColumn id="7" name="等级"/>
    <x:tableColumn id="8" name="模型用途"/>
    <x:tableColumn id="9" name="备注"/>
    <x:tableColumn id="10" name="来源I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quipmentSources" displayName="EquipmentSources" ref="A5:J75" headerRowCount="1" totalsRowCount="0" totalsRowShown="0">
  <x:autoFilter ref="A5:J75"/>
  <x:tableColumns count="10">
    <x:tableColumn id="1" name="来源ID"/>
    <x:tableColumn id="2" name="来源名称/原表文字"/>
    <x:tableColumn id="3" name="机构"/>
    <x:tableColumn id="4" name="等级"/>
    <x:tableColumn id="5" name="发布日期"/>
    <x:tableColumn id="6" name="URL"/>
    <x:tableColumn id="7" name="质量说明"/>
    <x:tableColumn id="8" name="采集载体"/>
    <x:tableColumn id="9" name="核验日期"/>
    <x:tableColumn id="10" name="核验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quipmentGaps" displayName="EquipmentGaps" ref="A6:J14" headerRowCount="1" totalsRowCount="0" totalsRowShown="0">
  <x:autoFilter ref="A6:J14"/>
  <x:tableColumns count="10">
    <x:tableColumn id="1" name="缺口ID"/>
    <x:tableColumn id="2" name="数据项"/>
    <x:tableColumn id="3" name="当前状态"/>
    <x:tableColumn id="4" name="官网可补"/>
    <x:tableColumn id="5" name="必须企业/实测"/>
    <x:tableColumn id="6" name="优先级"/>
    <x:tableColumn id="7" name="模型"/>
    <x:tableColumn id="8" name="建议取证"/>
    <x:tableColumn id="9" name="替换位置"/>
    <x:tableColumn id="10" name="验收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801423dd554feb" /><Relationship Type="http://schemas.openxmlformats.org/officeDocument/2006/relationships/table" Target="/xl/tables/table1.xml" Id="Rc085bdf5d8674d33" /><Relationship Type="http://schemas.openxmlformats.org/officeDocument/2006/relationships/table" Target="/xl/tables/table2.xml" Id="R0069210e202f4a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7f9e581f66d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322820b3f4e4b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d14debcb57645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1e279e1620d48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1610f485a844d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cc2de89c17049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25b1575032be4d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c5d0f33dd34416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22" hidden="0" customWidth="1"/>
    <x:col min="4" max="4" width="39" hidden="0" customWidth="1"/>
    <x:col min="5" max="5" width="10" hidden="0" customWidth="1"/>
    <x:col min="6" max="6" width="24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2" ht="28" customHeight="1">
      <x:c r="A2" s="1" t="str">
        <x:v>无人配送车与智能柜参数包：完成度与模型口径</x:v>
      </x:c>
    </x:row>
    <x:row r="3" ht="32" customHeight="1">
      <x:c r="A3" s="3" t="str">
        <x:v>核心技术规格已可用于初步建模；厂商精确链接、北京适用车型合规性以及真实能耗、故障率和作业时间仍需补证。政策规则已移至03数据包。更新日期：2026-09-14。 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6">
      <x:c r="A6" s="8" t="str">
        <x:v>赛事第3类数据完成度</x:v>
      </x:c>
      <x:c r="B6" s="9" t="n">
        <x:f>SUM(E10:E21)/COUNTA(A10:A21)</x:f>
        <x:v>0.7916666666666666</x:v>
      </x:c>
    </x:row>
    <x:row r="9" ht="32" customHeight="1">
      <x:c r="A9" s="16" t="str">
        <x:v>参数组</x:v>
      </x:c>
      <x:c r="B9" s="17" t="str">
        <x:v>状态</x:v>
      </x:c>
      <x:c r="C9" s="17" t="str">
        <x:v>当前来源</x:v>
      </x:c>
      <x:c r="D9" s="17" t="str">
        <x:v>使用限制</x:v>
      </x:c>
      <x:c r="E9" s="17" t="str">
        <x:v>计分</x:v>
      </x:c>
      <x:c r="F9" s="18" t="str">
        <x:v>对应模型</x:v>
      </x:c>
    </x:row>
    <x:row r="10">
      <x:c r="A10" s="12" t="str">
        <x:v>车型定位与自动驾驶等级</x:v>
      </x:c>
      <x:c r="B10" s="12" t="str">
        <x:v>完整</x:v>
      </x:c>
      <x:c r="C10" s="12" t="str">
        <x:v>现有参数表</x:v>
      </x:c>
      <x:c r="D10" s="12" t="str">
        <x:v>可用于场景分工</x:v>
      </x:c>
      <x:c r="E10" s="19" t="n">
        <x:v>1</x:v>
      </x:c>
      <x:c r="F10" s="12" t="str">
        <x:v>M2/M3</x:v>
      </x:c>
    </x:row>
    <x:row r="11">
      <x:c r="A11" s="12" t="str">
        <x:v>货厢容积与载重</x:v>
      </x:c>
      <x:c r="B11" s="12" t="str">
        <x:v>完整</x:v>
      </x:c>
      <x:c r="C11" s="12" t="str">
        <x:v>现有参数表</x:v>
      </x:c>
      <x:c r="D11" s="12" t="str">
        <x:v>X3/X6/W5与北京≤200kg产品要求需分类</x:v>
      </x:c>
      <x:c r="E11" s="19" t="n">
        <x:v>1</x:v>
      </x:c>
      <x:c r="F11" s="12" t="str">
        <x:v>M2/M3</x:v>
      </x:c>
    </x:row>
    <x:row r="12">
      <x:c r="A12" s="12" t="str">
        <x:v>续航与补能方式</x:v>
      </x:c>
      <x:c r="B12" s="12" t="str">
        <x:v>完整</x:v>
      </x:c>
      <x:c r="C12" s="12" t="str">
        <x:v>现有参数表</x:v>
      </x:c>
      <x:c r="D12" s="12" t="str">
        <x:v>真实满载续航需测试</x:v>
      </x:c>
      <x:c r="E12" s="19" t="n">
        <x:v>1</x:v>
      </x:c>
      <x:c r="F12" s="12" t="str">
        <x:v>M3/M6</x:v>
      </x:c>
    </x:row>
    <x:row r="13">
      <x:c r="A13" s="12" t="str">
        <x:v>尺寸、宽度与回转</x:v>
      </x:c>
      <x:c r="B13" s="12" t="str">
        <x:v>部分</x:v>
      </x:c>
      <x:c r="C13" s="12" t="str">
        <x:v>厂商+政策</x:v>
      </x:c>
      <x:c r="D13" s="12" t="str">
        <x:v>具体车型尺寸链接待补</x:v>
      </x:c>
      <x:c r="E13" s="19" t="n">
        <x:v>0.5</x:v>
      </x:c>
      <x:c r="F13" s="12" t="str">
        <x:v>M2/M6</x:v>
      </x:c>
    </x:row>
    <x:row r="14">
      <x:c r="A14" s="12" t="str">
        <x:v>模型运行速度</x:v>
      </x:c>
      <x:c r="B14" s="12" t="str">
        <x:v>完整</x:v>
      </x:c>
      <x:c r="C14" s="12" t="str">
        <x:v>北京管理办法</x:v>
      </x:c>
      <x:c r="D14" s="12" t="str">
        <x:v>非机动车道上限15km/h</x:v>
      </x:c>
      <x:c r="E14" s="19" t="n">
        <x:v>1</x:v>
      </x:c>
      <x:c r="F14" s="12" t="str">
        <x:v>M3/M6</x:v>
      </x:c>
    </x:row>
    <x:row r="15">
      <x:c r="A15" s="12" t="str">
        <x:v>爬坡、制动和安全要求</x:v>
      </x:c>
      <x:c r="B15" s="12" t="str">
        <x:v>完整</x:v>
      </x:c>
      <x:c r="C15" s="12" t="str">
        <x:v>北京市产品要求</x:v>
      </x:c>
      <x:c r="D15" s="12" t="str">
        <x:v>适用于纳入该产品范围的车型</x:v>
      </x:c>
      <x:c r="E15" s="19" t="n">
        <x:v>1</x:v>
      </x:c>
      <x:c r="F15" s="12" t="str">
        <x:v>M3/M6</x:v>
      </x:c>
    </x:row>
    <x:row r="16">
      <x:c r="A16" s="12" t="str">
        <x:v>单位里程能耗</x:v>
      </x:c>
      <x:c r="B16" s="12" t="str">
        <x:v>部分</x:v>
      </x:c>
      <x:c r="C16" s="12" t="str">
        <x:v>行业反推/假设</x:v>
      </x:c>
      <x:c r="D16" s="12" t="str">
        <x:v>需实车校准</x:v>
      </x:c>
      <x:c r="E16" s="19" t="n">
        <x:v>0.5</x:v>
      </x:c>
      <x:c r="F16" s="12" t="str">
        <x:v>M4/M6</x:v>
      </x:c>
    </x:row>
    <x:row r="17">
      <x:c r="A17" s="12" t="str">
        <x:v>车辆采购价</x:v>
      </x:c>
      <x:c r="B17" s="12" t="str">
        <x:v>完整</x:v>
      </x:c>
      <x:c r="C17" s="12" t="str">
        <x:v>厂商/公开报价</x:v>
      </x:c>
      <x:c r="D17" s="12" t="str">
        <x:v>报价时点和包含服务需核</x:v>
      </x:c>
      <x:c r="E17" s="19" t="n">
        <x:v>1</x:v>
      </x:c>
      <x:c r="F17" s="12" t="str">
        <x:v>M2/M4</x:v>
      </x:c>
    </x:row>
    <x:row r="18">
      <x:c r="A18" s="12" t="str">
        <x:v>保险、维保与安全员成本</x:v>
      </x:c>
      <x:c r="B18" s="12" t="str">
        <x:v>部分</x:v>
      </x:c>
      <x:c r="C18" s="12" t="str">
        <x:v>政策+行业口径</x:v>
      </x:c>
      <x:c r="D18" s="12" t="str">
        <x:v>真实合同价和试点配比待核</x:v>
      </x:c>
      <x:c r="E18" s="19" t="n">
        <x:v>0.5</x:v>
      </x:c>
      <x:c r="F18" s="12" t="str">
        <x:v>M3/M4</x:v>
      </x:c>
    </x:row>
    <x:row r="19">
      <x:c r="A19" s="12" t="str">
        <x:v>智能柜格口与尺寸</x:v>
      </x:c>
      <x:c r="B19" s="12" t="str">
        <x:v>完整</x:v>
      </x:c>
      <x:c r="C19" s="12" t="str">
        <x:v>现有参数表</x:v>
      </x:c>
      <x:c r="D19" s="12" t="str">
        <x:v>现场安装组合需核</x:v>
      </x:c>
      <x:c r="E19" s="19" t="n">
        <x:v>1</x:v>
      </x:c>
      <x:c r="F19" s="12" t="str">
        <x:v>M2/M6</x:v>
      </x:c>
    </x:row>
    <x:row r="20">
      <x:c r="A20" s="12" t="str">
        <x:v>柜体电耗、寿命、收费</x:v>
      </x:c>
      <x:c r="B20" s="12" t="str">
        <x:v>部分</x:v>
      </x:c>
      <x:c r="C20" s="12" t="str">
        <x:v>研报/采购口径</x:v>
      </x:c>
      <x:c r="D20" s="12" t="str">
        <x:v>实装运营数据待核</x:v>
      </x:c>
      <x:c r="E20" s="19" t="n">
        <x:v>0.5</x:v>
      </x:c>
      <x:c r="F20" s="12" t="str">
        <x:v>M4/M6</x:v>
      </x:c>
    </x:row>
    <x:row r="21">
      <x:c r="A21" s="12" t="str">
        <x:v>逐行来源可追溯性</x:v>
      </x:c>
      <x:c r="B21" s="12" t="str">
        <x:v>部分</x:v>
      </x:c>
      <x:c r="C21" s="12" t="str">
        <x:v>本次增加来源ID</x:v>
      </x:c>
      <x:c r="D21" s="12" t="str">
        <x:v>部分仍缺精确URL/发布日期</x:v>
      </x:c>
      <x:c r="E21" s="19" t="n">
        <x:v>0.5</x:v>
      </x:c>
      <x:c r="F21" s="12" t="str">
        <x:v>全模型</x:v>
      </x:c>
    </x:row>
    <x:row r="24">
      <x:c r="A24" s="22" t="str">
        <x:v>关键口径修正</x:v>
      </x:c>
      <x:c r="B24" s="23"/>
      <x:c r="C24" s="23"/>
      <x:c r="D24" s="23"/>
      <x:c r="E24" s="23"/>
      <x:c r="F24" s="24"/>
    </x:row>
    <x:row r="25" ht="32" customHeight="1">
      <x:c r="A25" s="16" t="str">
        <x:v>问题</x:v>
      </x:c>
      <x:c r="B25" s="17" t="str">
        <x:v>正确处理</x:v>
      </x:c>
      <x:c r="C25" s="17" t="str">
        <x:v>模型影响</x:v>
      </x:c>
      <x:c r="D25" s="17" t="str">
        <x:v>是否已处理</x:v>
      </x:c>
      <x:c r="E25" s="17" t="str">
        <x:v>仍需证据</x:v>
      </x:c>
      <x:c r="F25" s="18" t="str">
        <x:v>备注</x:v>
      </x:c>
    </x:row>
    <x:row r="26">
      <x:c r="A26" s="12" t="str">
        <x:v>X3/X6/W5载重高于200kg</x:v>
      </x:c>
      <x:c r="B26" s="12" t="str">
        <x:v>不要默认放入北京非机动车道低速产品同一类别；按获批车型/道路类别分场景</x:v>
      </x:c>
      <x:c r="C26" s="12" t="str">
        <x:v>车型可行域</x:v>
      </x:c>
      <x:c r="D26" s="12" t="str">
        <x:v>是</x:v>
      </x:c>
      <x:c r="E26" s="12" t="str">
        <x:v>试点区车型准入或运营方通知书</x:v>
      </x:c>
      <x:c r="F26" s="12" t="str">
        <x:v>200kg是产品要求中的最大装载质量</x:v>
      </x:c>
    </x:row>
    <x:row r="27">
      <x:c r="A27" s="12" t="str">
        <x:v>厂商最高速度高于15km/h</x:v>
      </x:c>
      <x:c r="B27" s="12" t="str">
        <x:v>模型在非机动车道用≤15km/h；有效速度另做8—15km/h情景</x:v>
      </x:c>
      <x:c r="C27" s="12" t="str">
        <x:v>行程时间</x:v>
      </x:c>
      <x:c r="D27" s="12" t="str">
        <x:v>是</x:v>
      </x:c>
      <x:c r="E27" s="12" t="str">
        <x:v>典型路线实测速度</x:v>
      </x:c>
      <x:c r="F27" s="12" t="str">
        <x:v>最高车速不能直接入M3</x:v>
      </x:c>
    </x:row>
    <x:row r="28">
      <x:c r="A28" s="12" t="str">
        <x:v>安全员1:10假设</x:v>
      </x:c>
      <x:c r="B28" s="12" t="str">
        <x:v>北京基准按每车指定/配备一名驾驶人；只有试点区明确调整后才用更高人车比</x:v>
      </x:c>
      <x:c r="C28" s="12" t="str">
        <x:v>人力成本</x:v>
      </x:c>
      <x:c r="D28" s="12" t="str">
        <x:v>是</x:v>
      </x:c>
      <x:c r="E28" s="12" t="str">
        <x:v>试点区细则/运营批复</x:v>
      </x:c>
      <x:c r="F28" s="12" t="str">
        <x:v>在模型采用参数中分情景</x:v>
      </x:c>
    </x:row>
    <x:row r="29">
      <x:c r="A29" s="12" t="str">
        <x:v>智能柜利用率60%</x:v>
      </x:c>
      <x:c r="B29" s="12" t="str">
        <x:v>标为行业情景值，不当作试点社区真实使用率</x:v>
      </x:c>
      <x:c r="C29" s="12" t="str">
        <x:v>柜体容量</x:v>
      </x:c>
      <x:c r="D29" s="12" t="str">
        <x:v>是</x:v>
      </x:c>
      <x:c r="E29" s="12" t="str">
        <x:v>柜体后台或分时盘点</x:v>
      </x:c>
      <x:c r="F29" s="12" t="str">
        <x:v>赛事第4类数据仍缺</x:v>
      </x:c>
    </x:row>
  </x:sheetData>
  <x:conditionalFormatting sqref="B10:B21">
    <x:cfRule type="containsText" dxfId="0" priority="1" operator="containsText" text="完整"/>
    <x:cfRule type="containsText" dxfId="1" priority="2" operator="containsText" text="部分"/>
    <x:cfRule type="containsText" dxfId="2" priority="3" operator="containsText" text="缺失"/>
  </x:conditionalFormatting>
  <x:pageMargins left="0.7" right="0.7" top="0.75" bottom="0.75" header="0.3" footer="0.3"/>
  <x:drawing xmlns:r="http://schemas.openxmlformats.org/officeDocument/2006/relationships" r:id="R32801423dd554feb"/>
  <x:tableParts count="2">
    <x:tablePart xmlns:r="http://schemas.openxmlformats.org/officeDocument/2006/relationships" r:id="Rc085bdf5d8674d33"/>
    <x:tablePart xmlns:r="http://schemas.openxmlformats.org/officeDocument/2006/relationships" r:id="R0069210e202f4a59"/>
  </x:tableParts>
</x:worksheet>
</file>

<file path=xl/worksheets/sheet2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40" hidden="0" customWidth="1"/>
    <x:col min="9" max="9" width="16" hidden="0" customWidth="1"/>
    <x:col min="10" max="10" width="16" hidden="0" customWidth="1"/>
    <x:col min="11" max="11" width="14" hidden="0" customWidth="1"/>
    <x:col min="12" max="12" width="36" hidden="0" customWidth="1"/>
  </x:cols>
  <x:sheetData>
    <x:row r="2" ht="28" customHeight="1">
      <x:c r="A2" s="1" t="str">
        <x:v>模型采用参数（数值化口径）</x:v>
      </x:c>
    </x:row>
    <x:row r="3" ht="32" customHeight="1">
      <x:c r="A3" s="3" t="str">
        <x:v>基准值可直接连接M2—M6；下限/上限用于敏感性分析。空白表示现有证据不足，不得自动填0。 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2" customHeight="1">
      <x:c r="A5" s="16" t="str">
        <x:v>参数代码</x:v>
      </x:c>
      <x:c r="B5" s="17" t="str">
        <x:v>对象</x:v>
      </x:c>
      <x:c r="C5" s="17" t="str">
        <x:v>参数名称</x:v>
      </x:c>
      <x:c r="D5" s="17" t="str">
        <x:v>下限</x:v>
      </x:c>
      <x:c r="E5" s="17" t="str">
        <x:v>基准值</x:v>
      </x:c>
      <x:c r="F5" s="17" t="str">
        <x:v>上限</x:v>
      </x:c>
      <x:c r="G5" s="17" t="str">
        <x:v>单位</x:v>
      </x:c>
      <x:c r="H5" s="17" t="str">
        <x:v>适用条件/口径</x:v>
      </x:c>
      <x:c r="I5" s="17" t="str">
        <x:v>来源ID</x:v>
      </x:c>
      <x:c r="J5" s="17" t="str">
        <x:v>对应模型</x:v>
      </x:c>
      <x:c r="K5" s="17" t="str">
        <x:v>参数类型</x:v>
      </x:c>
      <x:c r="L5" s="18" t="str">
        <x:v>待核事项</x:v>
      </x:c>
    </x:row>
    <x:row r="6">
      <x:c r="A6" s="12" t="str">
        <x:v>VEH_SPEED</x:v>
      </x:c>
      <x:c r="B6" s="12" t="str">
        <x:v>无人车</x:v>
      </x:c>
      <x:c r="C6" s="12" t="str">
        <x:v>非机动车道有效速度</x:v>
      </x:c>
      <x:c r="D6" s="25" t="n">
        <x:v>8</x:v>
      </x:c>
      <x:c r="E6" s="25" t="n">
        <x:v>12</x:v>
      </x:c>
      <x:c r="F6" s="25" t="n">
        <x:v>15</x:v>
      </x:c>
      <x:c r="G6" s="12" t="str">
        <x:v>km/h</x:v>
      </x:c>
      <x:c r="H6" s="12" t="str">
        <x:v>基准值为规划假设，上限为法规硬约束</x:v>
      </x:c>
      <x:c r="I6" s="12" t="str">
        <x:v>SRC-E-POLICY</x:v>
      </x:c>
      <x:c r="J6" s="12" t="str">
        <x:v>M3/M6</x:v>
      </x:c>
      <x:c r="K6" s="12" t="str">
        <x:v>情景</x:v>
      </x:c>
      <x:c r="L6" s="12" t="str">
        <x:v>典型路线实测校准</x:v>
      </x:c>
    </x:row>
    <x:row r="7">
      <x:c r="A7" s="12" t="str">
        <x:v>VEH_PAYLOAD</x:v>
      </x:c>
      <x:c r="B7" s="12" t="str">
        <x:v>无人车</x:v>
      </x:c>
      <x:c r="C7" s="12" t="str">
        <x:v>产品要求最大装载质量</x:v>
      </x:c>
      <x:c r="D7" s="25"/>
      <x:c r="E7" s="25"/>
      <x:c r="F7" s="25" t="n">
        <x:v>200</x:v>
      </x:c>
      <x:c r="G7" s="12" t="str">
        <x:v>kg</x:v>
      </x:c>
      <x:c r="H7" s="12" t="str">
        <x:v>适用于北京市产品要求定义的无人配送车</x:v>
      </x:c>
      <x:c r="I7" s="12" t="str">
        <x:v>SRC-E-PRODUCT</x:v>
      </x:c>
      <x:c r="J7" s="12" t="str">
        <x:v>M2/M3</x:v>
      </x:c>
      <x:c r="K7" s="12" t="str">
        <x:v>硬约束</x:v>
      </x:c>
      <x:c r="L7" s="12" t="str">
        <x:v>X3/X6/W5不能自动视为同类合规车型</x:v>
      </x:c>
    </x:row>
    <x:row r="8">
      <x:c r="A8" s="12" t="str">
        <x:v>X3_VOLUME</x:v>
      </x:c>
      <x:c r="B8" s="12" t="str">
        <x:v>新石器X3</x:v>
      </x:c>
      <x:c r="C8" s="12" t="str">
        <x:v>货厢容积</x:v>
      </x:c>
      <x:c r="D8" s="25"/>
      <x:c r="E8" s="25" t="n">
        <x:v>3</x:v>
      </x:c>
      <x:c r="F8" s="25"/>
      <x:c r="G8" s="12" t="str">
        <x:v>m3</x:v>
      </x:c>
      <x:c r="H8" s="12" t="str">
        <x:v>现有表口径</x:v>
      </x:c>
      <x:c r="I8" s="12" t="str">
        <x:v>SRC-E003</x:v>
      </x:c>
      <x:c r="J8" s="12" t="str">
        <x:v>M2/M3</x:v>
      </x:c>
      <x:c r="K8" s="12" t="str">
        <x:v>输入</x:v>
      </x:c>
      <x:c r="L8" s="12" t="str">
        <x:v>补精确型号页</x:v>
      </x:c>
    </x:row>
    <x:row r="9">
      <x:c r="A9" s="12" t="str">
        <x:v>X3_CAPACITY</x:v>
      </x:c>
      <x:c r="B9" s="12" t="str">
        <x:v>新石器X3</x:v>
      </x:c>
      <x:c r="C9" s="12" t="str">
        <x:v>单次配送能力</x:v>
      </x:c>
      <x:c r="D9" s="25" t="n">
        <x:v>400</x:v>
      </x:c>
      <x:c r="E9" s="25" t="n">
        <x:v>450</x:v>
      </x:c>
      <x:c r="F9" s="25" t="n">
        <x:v>500</x:v>
      </x:c>
      <x:c r="G9" s="12" t="str">
        <x:v>件/车次</x:v>
      </x:c>
      <x:c r="H9" s="12" t="str">
        <x:v>还需同时满足重量约束</x:v>
      </x:c>
      <x:c r="I9" s="12" t="str">
        <x:v>SRC-E003</x:v>
      </x:c>
      <x:c r="J9" s="12" t="str">
        <x:v>M2/M3</x:v>
      </x:c>
      <x:c r="K9" s="12" t="str">
        <x:v>情景</x:v>
      </x:c>
      <x:c r="L9" s="12" t="str">
        <x:v>用平均件重校验</x:v>
      </x:c>
    </x:row>
    <x:row r="10">
      <x:c r="A10" s="12" t="str">
        <x:v>X3_RANGE</x:v>
      </x:c>
      <x:c r="B10" s="12" t="str">
        <x:v>新石器X3</x:v>
      </x:c>
      <x:c r="C10" s="12" t="str">
        <x:v>满载/换电续航</x:v>
      </x:c>
      <x:c r="D10" s="25" t="n">
        <x:v>100</x:v>
      </x:c>
      <x:c r="E10" s="25" t="n">
        <x:v>100</x:v>
      </x:c>
      <x:c r="F10" s="25" t="n">
        <x:v>120</x:v>
      </x:c>
      <x:c r="G10" s="12" t="str">
        <x:v>km</x:v>
      </x:c>
      <x:c r="H10" s="12" t="str">
        <x:v>100为满载口径；120为换电续航口径</x:v>
      </x:c>
      <x:c r="I10" s="12" t="str">
        <x:v>SRC-E004</x:v>
      </x:c>
      <x:c r="J10" s="12" t="str">
        <x:v>M3/M6</x:v>
      </x:c>
      <x:c r="K10" s="12" t="str">
        <x:v>输入</x:v>
      </x:c>
      <x:c r="L10" s="12" t="str">
        <x:v>需实车校准</x:v>
      </x:c>
    </x:row>
    <x:row r="11">
      <x:c r="A11" s="12" t="str">
        <x:v>X3_ENERGY</x:v>
      </x:c>
      <x:c r="B11" s="12" t="str">
        <x:v>新石器X3</x:v>
      </x:c>
      <x:c r="C11" s="12" t="str">
        <x:v>单位里程电耗</x:v>
      </x:c>
      <x:c r="D11" s="25" t="n">
        <x:v>0.06</x:v>
      </x:c>
      <x:c r="E11" s="25" t="n">
        <x:v>0.09</x:v>
      </x:c>
      <x:c r="F11" s="25" t="n">
        <x:v>0.13</x:v>
      </x:c>
      <x:c r="G11" s="12" t="str">
        <x:v>kWh/km</x:v>
      </x:c>
      <x:c r="H11" s="12" t="str">
        <x:v>综合推定，非厂商实测</x:v>
      </x:c>
      <x:c r="I11" s="12" t="str">
        <x:v>SRC-E029</x:v>
      </x:c>
      <x:c r="J11" s="12" t="str">
        <x:v>M4/M6</x:v>
      </x:c>
      <x:c r="K11" s="12" t="str">
        <x:v>情景</x:v>
      </x:c>
      <x:c r="L11" s="12" t="str">
        <x:v>E级</x:v>
      </x:c>
    </x:row>
    <x:row r="12">
      <x:c r="A12" s="12" t="str">
        <x:v>X6_VOLUME</x:v>
      </x:c>
      <x:c r="B12" s="12" t="str">
        <x:v>新石器X6</x:v>
      </x:c>
      <x:c r="C12" s="12" t="str">
        <x:v>货厢容积</x:v>
      </x:c>
      <x:c r="D12" s="25"/>
      <x:c r="E12" s="25" t="n">
        <x:v>6</x:v>
      </x:c>
      <x:c r="F12" s="25"/>
      <x:c r="G12" s="12" t="str">
        <x:v>m3</x:v>
      </x:c>
      <x:c r="H12" s="12" t="str">
        <x:v>现有表口径</x:v>
      </x:c>
      <x:c r="I12" s="12" t="str">
        <x:v>SRC-E003</x:v>
      </x:c>
      <x:c r="J12" s="12" t="str">
        <x:v>M2/M3</x:v>
      </x:c>
      <x:c r="K12" s="12" t="str">
        <x:v>输入</x:v>
      </x:c>
      <x:c r="L12" s="12" t="str">
        <x:v>补精确型号页</x:v>
      </x:c>
    </x:row>
    <x:row r="13">
      <x:c r="A13" s="12" t="str">
        <x:v>X6_CAPACITY</x:v>
      </x:c>
      <x:c r="B13" s="12" t="str">
        <x:v>新石器X6</x:v>
      </x:c>
      <x:c r="C13" s="12" t="str">
        <x:v>单次配送能力</x:v>
      </x:c>
      <x:c r="D13" s="25" t="n">
        <x:v>800</x:v>
      </x:c>
      <x:c r="E13" s="25" t="n">
        <x:v>900</x:v>
      </x:c>
      <x:c r="F13" s="25" t="n">
        <x:v>1000</x:v>
      </x:c>
      <x:c r="G13" s="12" t="str">
        <x:v>件/车次</x:v>
      </x:c>
      <x:c r="H13" s="12" t="str">
        <x:v>仅在获批道路/车型场景使用</x:v>
      </x:c>
      <x:c r="I13" s="12" t="str">
        <x:v>SRC-E003</x:v>
      </x:c>
      <x:c r="J13" s="12" t="str">
        <x:v>M2/M3</x:v>
      </x:c>
      <x:c r="K13" s="12" t="str">
        <x:v>情景</x:v>
      </x:c>
      <x:c r="L13" s="12" t="str">
        <x:v>用平均件重校验</x:v>
      </x:c>
    </x:row>
    <x:row r="14">
      <x:c r="A14" s="12" t="str">
        <x:v>X6_RANGE</x:v>
      </x:c>
      <x:c r="B14" s="12" t="str">
        <x:v>新石器X6</x:v>
      </x:c>
      <x:c r="C14" s="12" t="str">
        <x:v>半载续航</x:v>
      </x:c>
      <x:c r="D14" s="25"/>
      <x:c r="E14" s="25" t="n">
        <x:v>207</x:v>
      </x:c>
      <x:c r="F14" s="25"/>
      <x:c r="G14" s="12" t="str">
        <x:v>km</x:v>
      </x:c>
      <x:c r="H14" s="12" t="str">
        <x:v>半载口径</x:v>
      </x:c>
      <x:c r="I14" s="12" t="str">
        <x:v>SRC-E004</x:v>
      </x:c>
      <x:c r="J14" s="12" t="str">
        <x:v>M3/M6</x:v>
      </x:c>
      <x:c r="K14" s="12" t="str">
        <x:v>输入</x:v>
      </x:c>
      <x:c r="L14" s="12" t="str">
        <x:v>需实车校准</x:v>
      </x:c>
    </x:row>
    <x:row r="15">
      <x:c r="A15" s="12" t="str">
        <x:v>X6_ENERGY</x:v>
      </x:c>
      <x:c r="B15" s="12" t="str">
        <x:v>新石器X6</x:v>
      </x:c>
      <x:c r="C15" s="12" t="str">
        <x:v>单位里程电耗</x:v>
      </x:c>
      <x:c r="D15" s="25"/>
      <x:c r="E15" s="25" t="n">
        <x:v>0.13</x:v>
      </x:c>
      <x:c r="F15" s="25"/>
      <x:c r="G15" s="12" t="str">
        <x:v>kWh/km</x:v>
      </x:c>
      <x:c r="H15" s="12" t="str">
        <x:v>综合推定</x:v>
      </x:c>
      <x:c r="I15" s="12" t="str">
        <x:v>SRC-E029</x:v>
      </x:c>
      <x:c r="J15" s="12" t="str">
        <x:v>M4/M6</x:v>
      </x:c>
      <x:c r="K15" s="12" t="str">
        <x:v>假设</x:v>
      </x:c>
      <x:c r="L15" s="12" t="str">
        <x:v>补实测上下界</x:v>
      </x:c>
    </x:row>
    <x:row r="16">
      <x:c r="A16" s="12" t="str">
        <x:v>X3_PRICE</x:v>
      </x:c>
      <x:c r="B16" s="12" t="str">
        <x:v>新石器X3</x:v>
      </x:c>
      <x:c r="C16" s="12" t="str">
        <x:v>购置价格</x:v>
      </x:c>
      <x:c r="D16" s="25" t="n">
        <x:v>11.55</x:v>
      </x:c>
      <x:c r="E16" s="25" t="n">
        <x:v>14.5</x:v>
      </x:c>
      <x:c r="F16" s="25"/>
      <x:c r="G16" s="12" t="str">
        <x:v>万元/台</x:v>
      </x:c>
      <x:c r="H16" s="12" t="str">
        <x:v>促销价/官方标价</x:v>
      </x:c>
      <x:c r="I16" s="12" t="str">
        <x:v>SRC-E015/SRC-E014</x:v>
      </x:c>
      <x:c r="J16" s="12" t="str">
        <x:v>M2/M4</x:v>
      </x:c>
      <x:c r="K16" s="12" t="str">
        <x:v>情景</x:v>
      </x:c>
      <x:c r="L16" s="12" t="str">
        <x:v>核对是否含服务费</x:v>
      </x:c>
    </x:row>
    <x:row r="17">
      <x:c r="A17" s="12" t="str">
        <x:v>X6_PRICE</x:v>
      </x:c>
      <x:c r="B17" s="12" t="str">
        <x:v>新石器X6</x:v>
      </x:c>
      <x:c r="C17" s="12" t="str">
        <x:v>购置价格</x:v>
      </x:c>
      <x:c r="D17" s="25" t="n">
        <x:v>12.51</x:v>
      </x:c>
      <x:c r="E17" s="25" t="n">
        <x:v>15.5</x:v>
      </x:c>
      <x:c r="F17" s="25"/>
      <x:c r="G17" s="12" t="str">
        <x:v>万元/台</x:v>
      </x:c>
      <x:c r="H17" s="12" t="str">
        <x:v>促销价/官方标价</x:v>
      </x:c>
      <x:c r="I17" s="12" t="str">
        <x:v>SRC-E015/SRC-E014</x:v>
      </x:c>
      <x:c r="J17" s="12" t="str">
        <x:v>M2/M4</x:v>
      </x:c>
      <x:c r="K17" s="12" t="str">
        <x:v>情景</x:v>
      </x:c>
      <x:c r="L17" s="12" t="str">
        <x:v>核对是否含服务费</x:v>
      </x:c>
    </x:row>
    <x:row r="18">
      <x:c r="A18" s="12" t="str">
        <x:v>INSURANCE</x:v>
      </x:c>
      <x:c r="B18" s="12" t="str">
        <x:v>无人车</x:v>
      </x:c>
      <x:c r="C18" s="12" t="str">
        <x:v>年保险费</x:v>
      </x:c>
      <x:c r="D18" s="25" t="n">
        <x:v>3000</x:v>
      </x:c>
      <x:c r="E18" s="25" t="n">
        <x:v>4000</x:v>
      </x:c>
      <x:c r="F18" s="25" t="n">
        <x:v>6000</x:v>
      </x:c>
      <x:c r="G18" s="12" t="str">
        <x:v>元/台年</x:v>
      </x:c>
      <x:c r="H18" s="12" t="str">
        <x:v>成本假设；责任险保额下限为300万元</x:v>
      </x:c>
      <x:c r="I18" s="12" t="str">
        <x:v>SRC-E029</x:v>
      </x:c>
      <x:c r="J18" s="12" t="str">
        <x:v>M4</x:v>
      </x:c>
      <x:c r="K18" s="12" t="str">
        <x:v>情景</x:v>
      </x:c>
      <x:c r="L18" s="12" t="str">
        <x:v>用运营方报价替换</x:v>
      </x:c>
    </x:row>
    <x:row r="19">
      <x:c r="A19" s="12" t="str">
        <x:v>MAINTENANCE</x:v>
      </x:c>
      <x:c r="B19" s="12" t="str">
        <x:v>无人车</x:v>
      </x:c>
      <x:c r="C19" s="12" t="str">
        <x:v>年维保费</x:v>
      </x:c>
      <x:c r="D19" s="25" t="n">
        <x:v>3000</x:v>
      </x:c>
      <x:c r="E19" s="25" t="n">
        <x:v>4000</x:v>
      </x:c>
      <x:c r="F19" s="25"/>
      <x:c r="G19" s="12" t="str">
        <x:v>元/台年</x:v>
      </x:c>
      <x:c r="H19" s="12" t="str">
        <x:v>行业口径</x:v>
      </x:c>
      <x:c r="I19" s="12" t="str">
        <x:v>SRC-E035</x:v>
      </x:c>
      <x:c r="J19" s="12" t="str">
        <x:v>M4</x:v>
      </x:c>
      <x:c r="K19" s="12" t="str">
        <x:v>情景</x:v>
      </x:c>
      <x:c r="L19" s="12" t="str">
        <x:v>不含高精地图时单列</x:v>
      </x:c>
    </x:row>
    <x:row r="20">
      <x:c r="A20" s="12" t="str">
        <x:v>DRIVER_RATIO</x:v>
      </x:c>
      <x:c r="B20" s="12" t="str">
        <x:v>无人车</x:v>
      </x:c>
      <x:c r="C20" s="12" t="str">
        <x:v>每名驾驶人监控车辆数</x:v>
      </x:c>
      <x:c r="D20" s="25" t="n">
        <x:v>1</x:v>
      </x:c>
      <x:c r="E20" s="25" t="n">
        <x:v>1</x:v>
      </x:c>
      <x:c r="F20" s="25" t="n">
        <x:v>30</x:v>
      </x:c>
      <x:c r="G20" s="12" t="str">
        <x:v>辆/人</x:v>
      </x:c>
      <x:c r="H20" s="12" t="str">
        <x:v>北京基准1；更高比例只用于获批情景</x:v>
      </x:c>
      <x:c r="I20" s="12" t="str">
        <x:v>SRC-E-POLICY</x:v>
      </x:c>
      <x:c r="J20" s="12" t="str">
        <x:v>M3/M4</x:v>
      </x:c>
      <x:c r="K20" s="12" t="str">
        <x:v>情景</x:v>
      </x:c>
      <x:c r="L20" s="12" t="str">
        <x:v>不得无依据直接采用1:10</x:v>
      </x:c>
    </x:row>
    <x:row r="21">
      <x:c r="A21" s="12" t="str">
        <x:v>LOCKER_CAP</x:v>
      </x:c>
      <x:c r="B21" s="12" t="str">
        <x:v>丰巢社区型</x:v>
      </x:c>
      <x:c r="C21" s="12" t="str">
        <x:v>标准格口数</x:v>
      </x:c>
      <x:c r="D21" s="25"/>
      <x:c r="E21" s="25" t="n">
        <x:v>84</x:v>
      </x:c>
      <x:c r="F21" s="25"/>
      <x:c r="G21" s="12" t="str">
        <x:v>格</x:v>
      </x:c>
      <x:c r="H21" s="12" t="str">
        <x:v>现有参数表</x:v>
      </x:c>
      <x:c r="I21" s="12" t="str">
        <x:v>SRC-E003</x:v>
      </x:c>
      <x:c r="J21" s="12" t="str">
        <x:v>M2/M6</x:v>
      </x:c>
      <x:c r="K21" s="12" t="str">
        <x:v>输入</x:v>
      </x:c>
      <x:c r="L21" s="12" t="str">
        <x:v>现场核验实际组合</x:v>
      </x:c>
    </x:row>
    <x:row r="22">
      <x:c r="A22" s="12" t="str">
        <x:v>LOCKER_UTIL</x:v>
      </x:c>
      <x:c r="B22" s="12" t="str">
        <x:v>智能柜</x:v>
      </x:c>
      <x:c r="C22" s="12" t="str">
        <x:v>格口利用率</x:v>
      </x:c>
      <x:c r="D22" s="25"/>
      <x:c r="E22" s="25" t="n">
        <x:v>0.6</x:v>
      </x:c>
      <x:c r="F22" s="25"/>
      <x:c r="G22" s="12" t="str">
        <x:v>比例</x:v>
      </x:c>
      <x:c r="H22" s="12" t="str">
        <x:v>行业情景值，不代表试点实际</x:v>
      </x:c>
      <x:c r="I22" s="12" t="str">
        <x:v>SRC-E011</x:v>
      </x:c>
      <x:c r="J22" s="12" t="str">
        <x:v>M2/M6</x:v>
      </x:c>
      <x:c r="K22" s="12" t="str">
        <x:v>假设</x:v>
      </x:c>
      <x:c r="L22" s="12" t="str">
        <x:v>以后台/盘点替换</x:v>
      </x:c>
    </x:row>
    <x:row r="23">
      <x:c r="A23" s="12" t="str">
        <x:v>LOCKER_POWER</x:v>
      </x:c>
      <x:c r="B23" s="12" t="str">
        <x:v>智能柜</x:v>
      </x:c>
      <x:c r="C23" s="12" t="str">
        <x:v>日耗电量</x:v>
      </x:c>
      <x:c r="D23" s="25"/>
      <x:c r="E23" s="25" t="n">
        <x:v>2</x:v>
      </x:c>
      <x:c r="F23" s="25"/>
      <x:c r="G23" s="12" t="str">
        <x:v>kWh/日</x:v>
      </x:c>
      <x:c r="H23" s="12" t="str">
        <x:v>行业口径</x:v>
      </x:c>
      <x:c r="I23" s="12" t="str">
        <x:v>SRC-E011</x:v>
      </x:c>
      <x:c r="J23" s="12" t="str">
        <x:v>M4</x:v>
      </x:c>
      <x:c r="K23" s="12" t="str">
        <x:v>输入</x:v>
      </x:c>
      <x:c r="L23" s="12" t="str">
        <x:v>现场电表校准</x:v>
      </x:c>
    </x:row>
    <x:row r="24">
      <x:c r="A24" s="12" t="str">
        <x:v>LOCKER_LIFE</x:v>
      </x:c>
      <x:c r="B24" s="12" t="str">
        <x:v>智能柜</x:v>
      </x:c>
      <x:c r="C24" s="12" t="str">
        <x:v>使用寿命</x:v>
      </x:c>
      <x:c r="D24" s="25"/>
      <x:c r="E24" s="25" t="n">
        <x:v>10</x:v>
      </x:c>
      <x:c r="F24" s="25"/>
      <x:c r="G24" s="12" t="str">
        <x:v>年</x:v>
      </x:c>
      <x:c r="H24" s="12" t="str">
        <x:v>折旧建议值</x:v>
      </x:c>
      <x:c r="I24" s="12" t="str">
        <x:v>SRC-E012</x:v>
      </x:c>
      <x:c r="J24" s="12" t="str">
        <x:v>M4</x:v>
      </x:c>
      <x:c r="K24" s="12" t="str">
        <x:v>输入</x:v>
      </x:c>
      <x:c r="L24" s="12" t="str">
        <x:v>与财务口径统一</x:v>
      </x:c>
    </x:row>
    <x:row r="25">
      <x:c r="A25" s="12" t="str">
        <x:v>LOCKER_COST</x:v>
      </x:c>
      <x:c r="B25" s="12" t="str">
        <x:v>智能柜</x:v>
      </x:c>
      <x:c r="C25" s="12" t="str">
        <x:v>柜体基础造价函数截距</x:v>
      </x:c>
      <x:c r="D25" s="25"/>
      <x:c r="E25" s="25" t="n">
        <x:v>900</x:v>
      </x:c>
      <x:c r="F25" s="25"/>
      <x:c r="G25" s="12" t="str">
        <x:v>元</x:v>
      </x:c>
      <x:c r="H25" s="12" t="str">
        <x:v>柜体价≈900+24×格口数；不含室外安装</x:v>
      </x:c>
      <x:c r="I25" s="12" t="str">
        <x:v>SRC-E021</x:v>
      </x:c>
      <x:c r="J25" s="12" t="str">
        <x:v>M2/M4</x:v>
      </x:c>
      <x:c r="K25" s="12" t="str">
        <x:v>输入</x:v>
      </x:c>
      <x:c r="L25" s="12" t="str">
        <x:v>安装和主控另列</x:v>
      </x:c>
    </x:row>
    <x:row r="26">
      <x:c r="A26" s="12" t="str">
        <x:v>LOCKER_COST_SLOT</x:v>
      </x:c>
      <x:c r="B26" s="12" t="str">
        <x:v>智能柜</x:v>
      </x:c>
      <x:c r="C26" s="12" t="str">
        <x:v>格口边际造价</x:v>
      </x:c>
      <x:c r="D26" s="25"/>
      <x:c r="E26" s="25" t="n">
        <x:v>24</x:v>
      </x:c>
      <x:c r="F26" s="25"/>
      <x:c r="G26" s="12" t="str">
        <x:v>元/格</x:v>
      </x:c>
      <x:c r="H26" s="12" t="str">
        <x:v>采购样本拟合</x:v>
      </x:c>
      <x:c r="I26" s="12" t="str">
        <x:v>SRC-E021</x:v>
      </x:c>
      <x:c r="J26" s="12" t="str">
        <x:v>M2/M4</x:v>
      </x:c>
      <x:c r="K26" s="12" t="str">
        <x:v>输入</x:v>
      </x:c>
      <x:c r="L26" s="12" t="str">
        <x:v>只适用于相同采购口径</x:v>
      </x:c>
    </x:row>
  </x:sheetData>
  <x:pageMargins left="0.7" right="0.7" top="0.75" bottom="0.75" header="0.3" footer="0.3"/>
  <x:tableParts count="1">
    <x:tablePart xmlns:r="http://schemas.openxmlformats.org/officeDocument/2006/relationships" r:id="R77f9e581f66d4246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5" hidden="0" customWidth="1"/>
    <x:col min="5" max="5" width="16" hidden="0" customWidth="1"/>
    <x:col min="6" max="6" width="29" hidden="0" customWidth="1"/>
    <x:col min="7" max="7" width="11" hidden="0" customWidth="1"/>
    <x:col min="8" max="8" width="35" hidden="0" customWidth="1"/>
    <x:col min="9" max="9" width="38" hidden="0" customWidth="1"/>
    <x:col min="10" max="10" width="14" hidden="0" customWidth="1"/>
  </x:cols>
  <x:sheetData>
    <x:row r="2" ht="28" customHeight="1">
      <x:c r="A2" s="1" t="str">
        <x:v>无人配送车技术参数</x:v>
      </x:c>
    </x:row>
    <x:row r="3" ht="32" customHeight="1">
      <x:c r="A3" s="3" t="str">
        <x:v>北京政策约束见03_道路通行与政策规则包。X3/X6/W5标称载重高于北京市产品要求的200kg上限，必须按获批车型和道路类别分场景使用。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6" t="str">
        <x:v>参数类别</x:v>
      </x:c>
      <x:c r="B5" s="17" t="str">
        <x:v>参数项</x:v>
      </x:c>
      <x:c r="C5" s="17" t="str">
        <x:v>新石器 X3</x:v>
      </x:c>
      <x:c r="D5" s="17" t="str">
        <x:v>新石器 X6</x:v>
      </x:c>
      <x:c r="E5" s="17" t="str">
        <x:v>文远知行 W5</x:v>
      </x:c>
      <x:c r="F5" s="17" t="str">
        <x:v>来源</x:v>
      </x:c>
      <x:c r="G5" s="17" t="str">
        <x:v>等级</x:v>
      </x:c>
      <x:c r="H5" s="17" t="str">
        <x:v>模型用途</x:v>
      </x:c>
      <x:c r="I5" s="17" t="str">
        <x:v>备注</x:v>
      </x:c>
      <x:c r="J5" s="18" t="str">
        <x:v>来源ID</x:v>
      </x:c>
    </x:row>
    <x:row r="6">
      <x:c r="A6" s="12" t="str">
        <x:v>基本定位</x:v>
      </x:c>
      <x:c r="B6" s="12" t="str">
        <x:v>车型定位</x:v>
      </x:c>
      <x:c r="C6" s="12" t="str">
        <x:v>小型末端配送无人车</x:v>
      </x:c>
      <x:c r="D6" s="12" t="str">
        <x:v>大容量末端配送无人车</x:v>
      </x:c>
      <x:c r="E6" s="12" t="str">
        <x:v>城市开放道路 L4 级无人驾驶物流车</x:v>
      </x:c>
      <x:c r="F6" s="12" t="str">
        <x:v>组委会数据/厂商官网</x:v>
      </x:c>
      <x:c r="G6" s="12" t="str">
        <x:v>B</x:v>
      </x:c>
      <x:c r="H6" s="12" t="str">
        <x:v>三级网络车型分工</x:v>
      </x:c>
      <x:c r="I6" s="12" t="str">
        <x:v>X3 走末端、X6/W5 走干支线</x:v>
      </x:c>
      <x:c r="J6" s="12" t="str">
        <x:v>SRC-E001</x:v>
      </x:c>
    </x:row>
    <x:row r="7">
      <x:c r="A7" s="12" t="str">
        <x:v>基本定位</x:v>
      </x:c>
      <x:c r="B7" s="12" t="str">
        <x:v>自动驾驶等级</x:v>
      </x:c>
      <x:c r="C7" s="12" t="str">
        <x:v>L4</x:v>
      </x:c>
      <x:c r="D7" s="12" t="str">
        <x:v>L4</x:v>
      </x:c>
      <x:c r="E7" s="12" t="str">
        <x:v>L4</x:v>
      </x:c>
      <x:c r="F7" s="12" t="str">
        <x:v>厂商官网</x:v>
      </x:c>
      <x:c r="G7" s="12" t="str">
        <x:v>B</x:v>
      </x:c>
      <x:c r="H7" s="12" t="str">
        <x:v>人工接管约束</x:v>
      </x:c>
      <x:c r="I7" s="12" t="str">
        <x:v>L4 仍需远程安全员</x:v>
      </x:c>
      <x:c r="J7" s="12" t="str">
        <x:v>SRC-E002</x:v>
      </x:c>
    </x:row>
    <x:row r="8">
      <x:c r="A8" s="12" t="str">
        <x:v>基本定位</x:v>
      </x:c>
      <x:c r="B8" s="12" t="str">
        <x:v>适用道路环境</x:v>
      </x:c>
      <x:c r="C8" s="12" t="str">
        <x:v>社区道路、园区道路、末端接驳</x:v>
      </x:c>
      <x:c r="D8" s="12" t="str">
        <x:v>区域道路、园区道路、社区主干道</x:v>
      </x:c>
      <x:c r="E8" s="12" t="str">
        <x:v>城市开放道路</x:v>
      </x:c>
      <x:c r="F8" s="12" t="str">
        <x:v>组委会数据</x:v>
      </x:c>
      <x:c r="G8" s="12" t="str">
        <x:v>B</x:v>
      </x:c>
      <x:c r="H8" s="12" t="str">
        <x:v>路网可达性约束</x:v>
      </x:c>
      <x:c r="I8" s="12" t="str">
        <x:v>决定节点间可否直连</x:v>
      </x:c>
      <x:c r="J8" s="12" t="str">
        <x:v>SRC-E003</x:v>
      </x:c>
    </x:row>
    <x:row r="9">
      <x:c r="A9" s="12" t="str">
        <x:v>基本定位</x:v>
      </x:c>
      <x:c r="B9" s="12" t="str">
        <x:v>推荐部署位置</x:v>
      </x:c>
      <x:c r="C9" s="12" t="str">
        <x:v>智慧社区内部</x:v>
      </x:c>
      <x:c r="D9" s="12" t="str">
        <x:v>区域配送节点</x:v>
      </x:c>
      <x:c r="E9" s="12" t="str">
        <x:v>区域配送节点</x:v>
      </x:c>
      <x:c r="F9" s="12" t="str">
        <x:v>组委会数据</x:v>
      </x:c>
      <x:c r="G9" s="12" t="str">
        <x:v>B</x:v>
      </x:c>
      <x:c r="H9" s="12" t="str">
        <x:v>节点层级划分</x:v>
      </x:c>
      <x:c r="I9" s="12" t="str">
        <x:v>对应三级网络第二、三层</x:v>
      </x:c>
      <x:c r="J9" s="12" t="str">
        <x:v>SRC-E003</x:v>
      </x:c>
    </x:row>
    <x:row r="10">
      <x:c r="A10" s="12" t="str">
        <x:v>装载能力</x:v>
      </x:c>
      <x:c r="B10" s="12" t="str">
        <x:v>装载空间 (m³)</x:v>
      </x:c>
      <x:c r="C10" s="12" t="str">
        <x:v>3</x:v>
      </x:c>
      <x:c r="D10" s="12" t="str">
        <x:v>6</x:v>
      </x:c>
      <x:c r="E10" s="12" t="str">
        <x:v>5.5</x:v>
      </x:c>
      <x:c r="F10" s="12" t="str">
        <x:v>组委会数据</x:v>
      </x:c>
      <x:c r="G10" s="12" t="str">
        <x:v>B</x:v>
      </x:c>
      <x:c r="H10" s="12" t="str">
        <x:v>单车次配送容量</x:v>
      </x:c>
      <x:c r="I10" s="12" t="str">
        <x:v>折算票数的依据</x:v>
      </x:c>
      <x:c r="J10" s="12" t="str">
        <x:v>SRC-E003</x:v>
      </x:c>
    </x:row>
    <x:row r="11">
      <x:c r="A11" s="12" t="str">
        <x:v>装载能力</x:v>
      </x:c>
      <x:c r="B11" s="12" t="str">
        <x:v>单次配送能力 (票)</x:v>
      </x:c>
      <x:c r="C11" s="12" t="str">
        <x:v>400–500</x:v>
      </x:c>
      <x:c r="D11" s="12" t="str">
        <x:v>800–1000</x:v>
      </x:c>
      <x:c r="E11" s="12" t="str">
        <x:v>—</x:v>
      </x:c>
      <x:c r="F11" s="12" t="str">
        <x:v>组委会数据</x:v>
      </x:c>
      <x:c r="G11" s="12" t="str">
        <x:v>B</x:v>
      </x:c>
      <x:c r="H11" s="12" t="str">
        <x:v>车辆需求数 = 日件量 ÷ 单次能力 ÷ 日班次</x:v>
      </x:c>
      <x:c r="I11" s="12" t="str">
        <x:v>核心运力参数</x:v>
      </x:c>
      <x:c r="J11" s="12" t="str">
        <x:v>SRC-E003</x:v>
      </x:c>
    </x:row>
    <x:row r="12">
      <x:c r="A12" s="12" t="str">
        <x:v>装载能力</x:v>
      </x:c>
      <x:c r="B12" s="12" t="str">
        <x:v>最大载重 (kg)</x:v>
      </x:c>
      <x:c r="C12" s="12" t="str">
        <x:v>520</x:v>
      </x:c>
      <x:c r="D12" s="12" t="str">
        <x:v>1130（厂商口径 1200）</x:v>
      </x:c>
      <x:c r="E12" s="12" t="str">
        <x:v>1000</x:v>
      </x:c>
      <x:c r="F12" s="12" t="str">
        <x:v>组委会数据/北京商报</x:v>
      </x:c>
      <x:c r="G12" s="12" t="str">
        <x:v>B</x:v>
      </x:c>
      <x:c r="H12" s="12" t="str">
        <x:v>载重约束</x:v>
      </x:c>
      <x:c r="I12" s="12" t="str">
        <x:v>不得超过政策 200kg？见备注</x:v>
      </x:c>
      <x:c r="J12" s="12" t="str">
        <x:v>SRC-E004</x:v>
      </x:c>
    </x:row>
    <x:row r="13">
      <x:c r="A13" s="12" t="str">
        <x:v>续驶与补能</x:v>
      </x:c>
      <x:c r="B13" s="12" t="str">
        <x:v>续航里程 (km)</x:v>
      </x:c>
      <x:c r="C13" s="12" t="str">
        <x:v>换电续航 120（满载口径 100）</x:v>
      </x:c>
      <x:c r="D13" s="12" t="str">
        <x:v>半载续航 207</x:v>
      </x:c>
      <x:c r="E13" s="12" t="str">
        <x:v>220</x:v>
      </x:c>
      <x:c r="F13" s="12" t="str">
        <x:v>组委会数据/北京商报</x:v>
      </x:c>
      <x:c r="G13" s="12" t="str">
        <x:v>B</x:v>
      </x:c>
      <x:c r="H13" s="12" t="str">
        <x:v>服务半径上限、日行驶里程约束</x:v>
      </x:c>
      <x:c r="I13" s="12" t="str">
        <x:v>X3 覆盖网点周边 10–15 km</x:v>
      </x:c>
      <x:c r="J13" s="12" t="str">
        <x:v>SRC-E004</x:v>
      </x:c>
    </x:row>
    <x:row r="14">
      <x:c r="A14" s="12" t="str">
        <x:v>续驶与补能</x:v>
      </x:c>
      <x:c r="B14" s="12" t="str">
        <x:v>补能方式</x:v>
      </x:c>
      <x:c r="C14" s="12" t="str">
        <x:v>30 秒快速换电</x:v>
      </x:c>
      <x:c r="D14" s="12" t="str">
        <x:v>电池续航运行（充电）</x:v>
      </x:c>
      <x:c r="E14" s="12" t="str">
        <x:v>充电</x:v>
      </x:c>
      <x:c r="F14" s="12" t="str">
        <x:v>组委会数据</x:v>
      </x:c>
      <x:c r="G14" s="12" t="str">
        <x:v>B</x:v>
      </x:c>
      <x:c r="H14" s="12" t="str">
        <x:v>换电站选址与容量</x:v>
      </x:c>
      <x:c r="I14" s="12" t="str">
        <x:v>X3 必须配套换电柜</x:v>
      </x:c>
      <x:c r="J14" s="12" t="str">
        <x:v>SRC-E003</x:v>
      </x:c>
    </x:row>
    <x:row r="15">
      <x:c r="A15" s="12" t="str">
        <x:v>续驶与补能</x:v>
      </x:c>
      <x:c r="B15" s="12" t="str">
        <x:v>运行时间</x:v>
      </x:c>
      <x:c r="C15" s="12" t="str">
        <x:v>24 小时连续运行</x:v>
      </x:c>
      <x:c r="D15" s="12" t="str">
        <x:v>24 小时连续运行</x:v>
      </x:c>
      <x:c r="E15" s="12" t="str">
        <x:v>7×24 小时运营</x:v>
      </x:c>
      <x:c r="F15" s="12" t="str">
        <x:v>组委会数据</x:v>
      </x:c>
      <x:c r="G15" s="12" t="str">
        <x:v>B</x:v>
      </x:c>
      <x:c r="H15" s="12" t="str">
        <x:v>班次排班与利用率</x:v>
      </x:c>
      <x:c r="I15" s="12" t="str">
        <x:v>可覆盖高峰与夜间补货</x:v>
      </x:c>
      <x:c r="J15" s="12" t="str">
        <x:v>SRC-E003</x:v>
      </x:c>
    </x:row>
    <x:row r="16">
      <x:c r="A16" s="12" t="str">
        <x:v>机动性能</x:v>
      </x:c>
      <x:c r="B16" s="12" t="str">
        <x:v>最高速度 (km/h)</x:v>
      </x:c>
      <x:c r="C16" s="12" t="str">
        <x:v>50</x:v>
      </x:c>
      <x:c r="D16" s="12" t="str">
        <x:v>60</x:v>
      </x:c>
      <x:c r="E16" s="12" t="str">
        <x:v>—</x:v>
      </x:c>
      <x:c r="F16" s="12" t="str">
        <x:v>组委会数据</x:v>
      </x:c>
      <x:c r="G16" s="12" t="str">
        <x:v>B</x:v>
      </x:c>
      <x:c r="H16" s="12" t="str">
        <x:v>行程时间 = 距离 ÷ 有效速度</x:v>
      </x:c>
      <x:c r="I16" s="12" t="str">
        <x:v>政策限制：非机动车道 ≤15 km/h</x:v>
      </x:c>
      <x:c r="J16" s="12" t="str">
        <x:v>SRC-E003</x:v>
      </x:c>
    </x:row>
    <x:row r="17">
      <x:c r="A17" s="12" t="str">
        <x:v>机动性能</x:v>
      </x:c>
      <x:c r="B17" s="12" t="str">
        <x:v>车身宽度 (m)</x:v>
      </x:c>
      <x:c r="C17" s="12" t="str">
        <x:v>&lt; 1.1</x:v>
      </x:c>
      <x:c r="D17" s="12" t="str">
        <x:v>约 1.1</x:v>
      </x:c>
      <x:c r="E17" s="12" t="str">
        <x:v>—</x:v>
      </x:c>
      <x:c r="F17" s="12" t="str">
        <x:v>北京商报</x:v>
      </x:c>
      <x:c r="G17" s="12" t="str">
        <x:v>D</x:v>
      </x:c>
      <x:c r="H17" s="12" t="str">
        <x:v>社区内部道路可通行性</x:v>
      </x:c>
      <x:c r="I17" s="12" t="str">
        <x:v>老旧胡同街巷的关键约束</x:v>
      </x:c>
      <x:c r="J17" s="12" t="str">
        <x:v>SRC-E005</x:v>
      </x:c>
    </x:row>
    <x:row r="18">
      <x:c r="A18" s="12" t="str">
        <x:v>机动性能</x:v>
      </x:c>
      <x:c r="B18" s="12" t="str">
        <x:v>最小回转半径 (m)</x:v>
      </x:c>
      <x:c r="C18" s="12" t="str">
        <x:v>≤ 4.5（政策强制）</x:v>
      </x:c>
      <x:c r="D18" s="12" t="str">
        <x:v>≤ 4.5（政策强制）</x:v>
      </x:c>
      <x:c r="E18" s="12" t="str">
        <x:v>—</x:v>
      </x:c>
      <x:c r="F18" s="12" t="str">
        <x:v>北京市产品要求 5.1.3</x:v>
      </x:c>
      <x:c r="G18" s="12" t="str">
        <x:v>A</x:v>
      </x:c>
      <x:c r="H18" s="12" t="str">
        <x:v>窄路掉头可行性</x:v>
      </x:c>
      <x:c r="I18" s="12" t="str">
        <x:v>模型硬约束</x:v>
      </x:c>
      <x:c r="J18" s="12" t="str">
        <x:v>SRC-E006</x:v>
      </x:c>
    </x:row>
    <x:row r="19">
      <x:c r="A19" s="12" t="str">
        <x:v>质保与寿命</x:v>
      </x:c>
      <x:c r="B19" s="12" t="str">
        <x:v>整车质保</x:v>
      </x:c>
      <x:c r="C19" s="12" t="str">
        <x:v>5 年</x:v>
      </x:c>
      <x:c r="D19" s="12" t="str">
        <x:v>5 年</x:v>
      </x:c>
      <x:c r="E19" s="12" t="str">
        <x:v>—</x:v>
      </x:c>
      <x:c r="F19" s="12" t="str">
        <x:v>北京商报</x:v>
      </x:c>
      <x:c r="G19" s="12" t="str">
        <x:v>D</x:v>
      </x:c>
      <x:c r="H19" s="12" t="str">
        <x:v>折旧年限设定参考</x:v>
      </x:c>
      <x:c r="I19" s="12" t="str">
        <x:v>税法最低 4 年，建议 5 年</x:v>
      </x:c>
      <x:c r="J19" s="12" t="str">
        <x:v>SRC-E005</x:v>
      </x:c>
    </x:row>
    <x:row r="20">
      <x:c r="A20" s="12" t="str">
        <x:v>竞品参照</x:v>
      </x:c>
      <x:c r="B20" s="12" t="str">
        <x:v>九识智能 Z5-2026</x:v>
      </x:c>
      <x:c r="C20" s="12" t="str">
        <x:v>车价 7.98 万元，FSD 订阅 1900 元/月</x:v>
      </x:c>
      <x:c r="D20" s="12"/>
      <x:c r="E20" s="12"/>
      <x:c r="F20" s="12" t="str">
        <x:v>新浪财经《2026 自动驾驶元年八大展望》</x:v>
      </x:c>
      <x:c r="G20" s="12" t="str">
        <x:v>C</x:v>
      </x:c>
      <x:c r="H20" s="12" t="str">
        <x:v>价格下界参照</x:v>
      </x:c>
      <x:c r="I20" s="12"/>
      <x:c r="J20" s="12" t="str">
        <x:v>SRC-E007</x:v>
      </x:c>
    </x:row>
    <x:row r="21">
      <x:c r="A21" s="12" t="str">
        <x:v>竞品参照</x:v>
      </x:c>
      <x:c r="B21" s="12" t="str">
        <x:v>菜鸟 GTPro</x:v>
      </x:c>
      <x:c r="C21" s="12" t="str">
        <x:v>14.98 万元起（含 5 年技术服务费）；5 m³ / 750 kg / 180 km</x:v>
      </x:c>
      <x:c r="D21" s="12"/>
      <x:c r="E21" s="12"/>
      <x:c r="F21" s="12" t="str">
        <x:v>卡车之家</x:v>
      </x:c>
      <x:c r="G21" s="12" t="str">
        <x:v>D</x:v>
      </x:c>
      <x:c r="H21" s="12" t="str">
        <x:v>价格上界参照</x:v>
      </x:c>
      <x:c r="I21" s="12"/>
      <x:c r="J21" s="12" t="str">
        <x:v>SRC-E008</x:v>
      </x:c>
    </x:row>
    <x:row r="22">
      <x:c r="A22" s="12" t="str">
        <x:v>竞品参照</x:v>
      </x:c>
      <x:c r="B22" s="12" t="str">
        <x:v>美团 V6</x:v>
      </x:c>
      <x:c r="C22" s="12" t="str">
        <x:v>6 m³；30 kWh(230 km) / 42 kWh(300 km)</x:v>
      </x:c>
      <x:c r="D22" s="12"/>
      <x:c r="E22" s="12"/>
      <x:c r="F22" s="12" t="str">
        <x:v>新战略低速无人车</x:v>
      </x:c>
      <x:c r="G22" s="12" t="str">
        <x:v>D</x:v>
      </x:c>
      <x:c r="H22" s="12" t="str">
        <x:v>电耗反推参照</x:v>
      </x:c>
      <x:c r="I22" s="12" t="str">
        <x:v>0.13–0.14 kWh/km</x:v>
      </x:c>
      <x:c r="J22" s="12" t="str">
        <x:v>SRC-E009</x:v>
      </x:c>
    </x:row>
    <x:row r="23">
      <x:c r="A23" s="12" t="str">
        <x:v>竞品参照</x:v>
      </x:c>
      <x:c r="B23" s="12" t="str">
        <x:v>易咖 Robovan M6</x:v>
      </x:c>
      <x:c r="C23" s="12" t="str">
        <x:v>7 m³ / 1.3 t / 330 km；百公里电耗 10 度</x:v>
      </x:c>
      <x:c r="D23" s="12"/>
      <x:c r="E23" s="12"/>
      <x:c r="F23" s="12" t="str">
        <x:v>新战略低速无人车</x:v>
      </x:c>
      <x:c r="G23" s="12" t="str">
        <x:v>D</x:v>
      </x:c>
      <x:c r="H23" s="12" t="str">
        <x:v>电耗反推参照</x:v>
      </x:c>
      <x:c r="I23" s="12" t="str">
        <x:v>0.10 kWh/km</x:v>
      </x:c>
      <x:c r="J23" s="12" t="str">
        <x:v>SRC-E009</x:v>
      </x:c>
    </x:row>
    <x:row r="24">
      <x:c r="A24" s="12" t="str">
        <x:v>竞品参照</x:v>
      </x:c>
      <x:c r="B24" s="12" t="str">
        <x:v>新石器 H12</x:v>
      </x:c>
      <x:c r="C24" s="12" t="str">
        <x:v>12 m³（大型平台）</x:v>
      </x:c>
      <x:c r="D24" s="12"/>
      <x:c r="E24" s="12"/>
      <x:c r="F24" s="12" t="str">
        <x:v>华泰证券研报</x:v>
      </x:c>
      <x:c r="G24" s="12" t="str">
        <x:v>C</x:v>
      </x:c>
      <x:c r="H24" s="12" t="str">
        <x:v>大容量车型备选</x:v>
      </x:c>
      <x:c r="I24" s="12"/>
      <x:c r="J24" s="12" t="str">
        <x:v>SRC-E010</x:v>
      </x:c>
    </x:row>
  </x:sheetData>
  <x:pageMargins left="0.7" right="0.7" top="0.75" bottom="0.75" header="0.3" footer="0.3"/>
  <x:tableParts count="1">
    <x:tablePart xmlns:r="http://schemas.openxmlformats.org/officeDocument/2006/relationships" r:id="R8322820b3f4e4b92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5" hidden="0" customWidth="1"/>
    <x:col min="4" max="4" width="25" hidden="0" customWidth="1"/>
    <x:col min="5" max="5" width="28" hidden="0" customWidth="1"/>
    <x:col min="6" max="6" width="11" hidden="0" customWidth="1"/>
    <x:col min="7" max="7" width="35" hidden="0" customWidth="1"/>
    <x:col min="8" max="8" width="35" hidden="0" customWidth="1"/>
    <x:col min="9" max="9" width="14" hidden="0" customWidth="1"/>
  </x:cols>
  <x:sheetData>
    <x:row r="2" ht="28" customHeight="1">
      <x:c r="A2" s="1" t="str">
        <x:v>智能柜技术规格</x:v>
      </x:c>
    </x:row>
    <x:row r="3" ht="32" customHeight="1">
      <x:c r="A3" s="3" t="str">
        <x:v>格口利用率 60% 是行业平均值，M2 容量配置时应按「格口数 × 利用率 ≥ 峰值滞留件量」设置约束。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16" t="str">
        <x:v>参数类别</x:v>
      </x:c>
      <x:c r="B5" s="17" t="str">
        <x:v>参数项</x:v>
      </x:c>
      <x:c r="C5" s="17" t="str">
        <x:v>丰巢（社区型）</x:v>
      </x:c>
      <x:c r="D5" s="17" t="str">
        <x:v>近邻宝（社区型）</x:v>
      </x:c>
      <x:c r="E5" s="17" t="str">
        <x:v>来源</x:v>
      </x:c>
      <x:c r="F5" s="17" t="str">
        <x:v>等级</x:v>
      </x:c>
      <x:c r="G5" s="17" t="str">
        <x:v>模型用途</x:v>
      </x:c>
      <x:c r="H5" s="17" t="str">
        <x:v>备注</x:v>
      </x:c>
      <x:c r="I5" s="18" t="str">
        <x:v>来源ID</x:v>
      </x:c>
    </x:row>
    <x:row r="6">
      <x:c r="A6" s="12" t="str">
        <x:v>柜体结构</x:v>
      </x:c>
      <x:c r="B6" s="12" t="str">
        <x:v>柜体形式</x:v>
      </x:c>
      <x:c r="C6" s="12" t="str">
        <x:v>主柜 + 副柜组合（1 主柜 + 4 副柜）</x:v>
      </x:c>
      <x:c r="D6" s="12" t="str">
        <x:v>主柜 + 副柜组合，可增副柜扩展</x:v>
      </x:c>
      <x:c r="E6" s="12" t="str">
        <x:v>组委会数据</x:v>
      </x:c>
      <x:c r="F6" s="12" t="str">
        <x:v>B</x:v>
      </x:c>
      <x:c r="G6" s="12" t="str">
        <x:v>容量模块化扩展</x:v>
      </x:c>
      <x:c r="H6" s="12" t="str">
        <x:v>支持按需求动态加格口</x:v>
      </x:c>
      <x:c r="I6" s="12" t="str">
        <x:v>SRC-E003</x:v>
      </x:c>
    </x:row>
    <x:row r="7">
      <x:c r="A7" s="12" t="str">
        <x:v>柜体结构</x:v>
      </x:c>
      <x:c r="B7" s="12" t="str">
        <x:v>标准配置格口数</x:v>
      </x:c>
      <x:c r="C7" s="12" t="str">
        <x:v>84</x:v>
      </x:c>
      <x:c r="D7" s="12" t="str">
        <x:v>16 / 24 / 28 / 40 / 56 / 112</x:v>
      </x:c>
      <x:c r="E7" s="12" t="str">
        <x:v>组委会数据</x:v>
      </x:c>
      <x:c r="F7" s="12" t="str">
        <x:v>B</x:v>
      </x:c>
      <x:c r="G7" s="12" t="str">
        <x:v>容量配置决策变量</x:v>
      </x:c>
      <x:c r="H7" s="12" t="str">
        <x:v>单点存储能力上限</x:v>
      </x:c>
      <x:c r="I7" s="12" t="str">
        <x:v>SRC-E003</x:v>
      </x:c>
    </x:row>
    <x:row r="8">
      <x:c r="A8" s="12" t="str">
        <x:v>柜体结构</x:v>
      </x:c>
      <x:c r="B8" s="12" t="str">
        <x:v>行业常见标准组</x:v>
      </x:c>
      <x:c r="C8" s="12" t="str">
        <x:v>1 主柜 + 4 副柜 ≈ 104 格</x:v>
      </x:c>
      <x:c r="D8" s="12" t="str">
        <x:v>—</x:v>
      </x:c>
      <x:c r="E8" s="12" t="str">
        <x:v>券商研报</x:v>
      </x:c>
      <x:c r="F8" s="12" t="str">
        <x:v>C</x:v>
      </x:c>
      <x:c r="G8" s="12" t="str">
        <x:v>投资核算口径</x:v>
      </x:c>
      <x:c r="H8" s="12" t="str">
        <x:v>整组报价约 3 万元</x:v>
      </x:c>
      <x:c r="I8" s="12" t="str">
        <x:v>SRC-E011</x:v>
      </x:c>
    </x:row>
    <x:row r="9">
      <x:c r="A9" s="12" t="str">
        <x:v>外形尺寸</x:v>
      </x:c>
      <x:c r="B9" s="12" t="str">
        <x:v>高度 (mm)</x:v>
      </x:c>
      <x:c r="C9" s="12" t="str">
        <x:v>约 2100</x:v>
      </x:c>
      <x:c r="D9" s="12" t="str">
        <x:v>2150</x:v>
      </x:c>
      <x:c r="E9" s="12" t="str">
        <x:v>组委会数据</x:v>
      </x:c>
      <x:c r="F9" s="12" t="str">
        <x:v>B</x:v>
      </x:c>
      <x:c r="G9" s="12" t="str">
        <x:v>室内/室外安装空间约束</x:v>
      </x:c>
      <x:c r="H9" s="12"/>
      <x:c r="I9" s="12" t="str">
        <x:v>SRC-E003</x:v>
      </x:c>
    </x:row>
    <x:row r="10">
      <x:c r="A10" s="12" t="str">
        <x:v>外形尺寸</x:v>
      </x:c>
      <x:c r="B10" s="12" t="str">
        <x:v>宽度 (mm)</x:v>
      </x:c>
      <x:c r="C10" s="12" t="str">
        <x:v>4500（主柜+4 副柜整体）</x:v>
      </x:c>
      <x:c r="D10" s="12" t="str">
        <x:v>700（16–40 格）/ 1100（56、112 格）</x:v>
      </x:c>
      <x:c r="E10" s="12" t="str">
        <x:v>组委会数据</x:v>
      </x:c>
      <x:c r="F10" s="12" t="str">
        <x:v>B</x:v>
      </x:c>
      <x:c r="G10" s="12" t="str">
        <x:v>占地核算</x:v>
      </x:c>
      <x:c r="H10" s="12"/>
      <x:c r="I10" s="12" t="str">
        <x:v>SRC-E003</x:v>
      </x:c>
    </x:row>
    <x:row r="11">
      <x:c r="A11" s="12" t="str">
        <x:v>外形尺寸</x:v>
      </x:c>
      <x:c r="B11" s="12" t="str">
        <x:v>深度 (mm)</x:v>
      </x:c>
      <x:c r="C11" s="12" t="str">
        <x:v>500</x:v>
      </x:c>
      <x:c r="D11" s="12" t="str">
        <x:v>400（16–56 格）/ 500（112 格）</x:v>
      </x:c>
      <x:c r="E11" s="12" t="str">
        <x:v>组委会数据</x:v>
      </x:c>
      <x:c r="F11" s="12" t="str">
        <x:v>B</x:v>
      </x:c>
      <x:c r="G11" s="12" t="str">
        <x:v>占地核算</x:v>
      </x:c>
      <x:c r="H11" s="12"/>
      <x:c r="I11" s="12" t="str">
        <x:v>SRC-E003</x:v>
      </x:c>
    </x:row>
    <x:row r="12">
      <x:c r="A12" s="12" t="str">
        <x:v>外形尺寸</x:v>
      </x:c>
      <x:c r="B12" s="12" t="str">
        <x:v>占地面积 (㎡)</x:v>
      </x:c>
      <x:c r="C12" s="12" t="str">
        <x:v>约 2.25（84 格）</x:v>
      </x:c>
      <x:c r="D12" s="12" t="str">
        <x:v>约 0.28–0.55（单柜）</x:v>
      </x:c>
      <x:c r="E12" s="12" t="str">
        <x:v>组委会数据</x:v>
      </x:c>
      <x:c r="F12" s="12" t="str">
        <x:v>B</x:v>
      </x:c>
      <x:c r="G12" s="12" t="str">
        <x:v>驿站空间布局约束</x:v>
      </x:c>
      <x:c r="H12" s="12" t="str">
        <x:v>M2 选址的空间约束条件</x:v>
      </x:c>
      <x:c r="I12" s="12" t="str">
        <x:v>SRC-E003</x:v>
      </x:c>
    </x:row>
    <x:row r="13">
      <x:c r="A13" s="12" t="str">
        <x:v>格口规格</x:v>
      </x:c>
      <x:c r="B13" s="12" t="str">
        <x:v>格口类型</x:v>
      </x:c>
      <x:c r="C13" s="12" t="str">
        <x:v>大、中、小三种</x:v>
      </x:c>
      <x:c r="D13" s="12" t="str">
        <x:v>大、中、小三种</x:v>
      </x:c>
      <x:c r="E13" s="12" t="str">
        <x:v>组委会数据</x:v>
      </x:c>
      <x:c r="F13" s="12" t="str">
        <x:v>B</x:v>
      </x:c>
      <x:c r="G13" s="12" t="str">
        <x:v>格口配比优化</x:v>
      </x:c>
      <x:c r="H13" s="12" t="str">
        <x:v>可按件型分布配置比例</x:v>
      </x:c>
      <x:c r="I13" s="12" t="str">
        <x:v>SRC-E003</x:v>
      </x:c>
    </x:row>
    <x:row r="14">
      <x:c r="A14" s="12" t="str">
        <x:v>格口规格</x:v>
      </x:c>
      <x:c r="B14" s="12" t="str">
        <x:v>小格尺寸 (cm)</x:v>
      </x:c>
      <x:c r="C14" s="12" t="str">
        <x:v>34 × 45 × 8</x:v>
      </x:c>
      <x:c r="D14" s="12" t="str">
        <x:v>34 × 45 × 8</x:v>
      </x:c>
      <x:c r="E14" s="12" t="str">
        <x:v>组委会数据</x:v>
      </x:c>
      <x:c r="F14" s="12" t="str">
        <x:v>B</x:v>
      </x:c>
      <x:c r="G14" s="12" t="str">
        <x:v>件型匹配</x:v>
      </x:c>
      <x:c r="H14" s="12" t="str">
        <x:v>手机配件、小包裹</x:v>
      </x:c>
      <x:c r="I14" s="12" t="str">
        <x:v>SRC-E003</x:v>
      </x:c>
    </x:row>
    <x:row r="15">
      <x:c r="A15" s="12" t="str">
        <x:v>格口规格</x:v>
      </x:c>
      <x:c r="B15" s="12" t="str">
        <x:v>中格尺寸 (cm)</x:v>
      </x:c>
      <x:c r="C15" s="12" t="str">
        <x:v>34 × 45 × 19</x:v>
      </x:c>
      <x:c r="D15" s="12" t="str">
        <x:v>34 × 45 × 19</x:v>
      </x:c>
      <x:c r="E15" s="12" t="str">
        <x:v>组委会数据</x:v>
      </x:c>
      <x:c r="F15" s="12" t="str">
        <x:v>B</x:v>
      </x:c>
      <x:c r="G15" s="12" t="str">
        <x:v>件型匹配</x:v>
      </x:c>
      <x:c r="H15" s="12" t="str">
        <x:v>常规快递</x:v>
      </x:c>
      <x:c r="I15" s="12" t="str">
        <x:v>SRC-E003</x:v>
      </x:c>
    </x:row>
    <x:row r="16">
      <x:c r="A16" s="12" t="str">
        <x:v>格口规格</x:v>
      </x:c>
      <x:c r="B16" s="12" t="str">
        <x:v>大格尺寸 (cm)</x:v>
      </x:c>
      <x:c r="C16" s="12" t="str">
        <x:v>34 × 45 × 29</x:v>
      </x:c>
      <x:c r="D16" s="12" t="str">
        <x:v>34 × 45 × 29</x:v>
      </x:c>
      <x:c r="E16" s="12" t="str">
        <x:v>组委会数据</x:v>
      </x:c>
      <x:c r="F16" s="12" t="str">
        <x:v>B</x:v>
      </x:c>
      <x:c r="G16" s="12" t="str">
        <x:v>件型匹配</x:v>
      </x:c>
      <x:c r="H16" s="12" t="str">
        <x:v>大件</x:v>
      </x:c>
      <x:c r="I16" s="12" t="str">
        <x:v>SRC-E003</x:v>
      </x:c>
    </x:row>
    <x:row r="17">
      <x:c r="A17" s="12" t="str">
        <x:v>运营参数</x:v>
      </x:c>
      <x:c r="B17" s="12" t="str">
        <x:v>格口利用率</x:v>
      </x:c>
      <x:c r="C17" s="12" t="str">
        <x:v>行业平均 60%</x:v>
      </x:c>
      <x:c r="D17" s="12" t="str">
        <x:v>行业平均 60%</x:v>
      </x:c>
      <x:c r="E17" s="12" t="str">
        <x:v>券商研报</x:v>
      </x:c>
      <x:c r="F17" s="12" t="str">
        <x:v>C</x:v>
      </x:c>
      <x:c r="G17" s="12" t="str">
        <x:v>有效容量 = 格口数 × 60%</x:v>
      </x:c>
      <x:c r="H17" s="12" t="str">
        <x:v>M6 仿真满柜判定的关键</x:v>
      </x:c>
      <x:c r="I17" s="12" t="str">
        <x:v>SRC-E011</x:v>
      </x:c>
    </x:row>
    <x:row r="18">
      <x:c r="A18" s="12" t="str">
        <x:v>运营参数</x:v>
      </x:c>
      <x:c r="B18" s="12" t="str">
        <x:v>日耗电量 (度)</x:v>
      </x:c>
      <x:c r="C18" s="12" t="str">
        <x:v>约 2</x:v>
      </x:c>
      <x:c r="D18" s="12" t="str">
        <x:v>约 2</x:v>
      </x:c>
      <x:c r="E18" s="12" t="str">
        <x:v>券商研报</x:v>
      </x:c>
      <x:c r="F18" s="12" t="str">
        <x:v>C</x:v>
      </x:c>
      <x:c r="G18" s="12" t="str">
        <x:v>运营电费 + 碳排放</x:v>
      </x:c>
      <x:c r="H18" s="12" t="str">
        <x:v>年电费 438–730 元</x:v>
      </x:c>
      <x:c r="I18" s="12" t="str">
        <x:v>SRC-E011</x:v>
      </x:c>
    </x:row>
    <x:row r="19">
      <x:c r="A19" s="12" t="str">
        <x:v>运营参数</x:v>
      </x:c>
      <x:c r="B19" s="12" t="str">
        <x:v>使用寿命 (年)</x:v>
      </x:c>
      <x:c r="C19" s="12" t="str">
        <x:v>10 年以上</x:v>
      </x:c>
      <x:c r="D19" s="12" t="str">
        <x:v>10 年以上</x:v>
      </x:c>
      <x:c r="E19" s="12" t="str">
        <x:v>国信证券研报</x:v>
      </x:c>
      <x:c r="F19" s="12" t="str">
        <x:v>C</x:v>
      </x:c>
      <x:c r="G19" s="12" t="str">
        <x:v>折旧年限设定</x:v>
      </x:c>
      <x:c r="H19" s="12" t="str">
        <x:v>税法器具类最低 5 年，建议 10 年</x:v>
      </x:c>
      <x:c r="I19" s="12" t="str">
        <x:v>SRC-E012</x:v>
      </x:c>
    </x:row>
    <x:row r="20">
      <x:c r="A20" s="12" t="str">
        <x:v>运营参数</x:v>
      </x:c>
      <x:c r="B20" s="12" t="str">
        <x:v>投柜收费 (元/单)</x:v>
      </x:c>
      <x:c r="C20" s="12" t="str">
        <x:v>0.35–0.45（按格口大小）</x:v>
      </x:c>
      <x:c r="D20" s="12" t="str">
        <x:v>—</x:v>
      </x:c>
      <x:c r="E20" s="12" t="str">
        <x:v>中国房地产网/国信证券</x:v>
      </x:c>
      <x:c r="F20" s="12" t="str">
        <x:v>C</x:v>
      </x:c>
      <x:c r="G20" s="12" t="str">
        <x:v>收益侧测算</x:v>
      </x:c>
      <x:c r="H20" s="12" t="str">
        <x:v>大格 0.45 / 中 0.40 / 小 0.35</x:v>
      </x:c>
      <x:c r="I20" s="12" t="str">
        <x:v>SRC-E013</x:v>
      </x:c>
    </x:row>
    <x:row r="21">
      <x:c r="A21" s="12" t="str">
        <x:v>运营参数</x:v>
      </x:c>
      <x:c r="B21" s="12" t="str">
        <x:v>超时收费 (元/个)</x:v>
      </x:c>
      <x:c r="C21" s="12" t="str">
        <x:v>1</x:v>
      </x:c>
      <x:c r="D21" s="12" t="str">
        <x:v>—</x:v>
      </x:c>
      <x:c r="E21" s="12" t="str">
        <x:v>券商研报</x:v>
      </x:c>
      <x:c r="F21" s="12" t="str">
        <x:v>C</x:v>
      </x:c>
      <x:c r="G21" s="12" t="str">
        <x:v>收益侧测算</x:v>
      </x:c>
      <x:c r="H21" s="12" t="str">
        <x:v>按格口数 10% 估算超时件</x:v>
      </x:c>
      <x:c r="I21" s="12" t="str">
        <x:v>SRC-E011</x:v>
      </x:c>
    </x:row>
    <x:row r="22">
      <x:c r="A22" s="12" t="str">
        <x:v>运营参数</x:v>
      </x:c>
      <x:c r="B22" s="12" t="str">
        <x:v>交互方式</x:v>
      </x:c>
      <x:c r="C22" s="12" t="str">
        <x:v>手机扫码、验证码取件</x:v>
      </x:c>
      <x:c r="D22" s="12" t="str">
        <x:v>手机扫码、身份认证</x:v>
      </x:c>
      <x:c r="E22" s="12" t="str">
        <x:v>组委会数据</x:v>
      </x:c>
      <x:c r="F22" s="12" t="str">
        <x:v>B</x:v>
      </x:c>
      <x:c r="G22" s="12" t="str">
        <x:v>用户取件流程建模</x:v>
      </x:c>
      <x:c r="H22" s="12" t="str">
        <x:v>M6 仿真取件时长</x:v>
      </x:c>
      <x:c r="I22" s="12" t="str">
        <x:v>SRC-E003</x:v>
      </x:c>
    </x:row>
  </x:sheetData>
  <x:pageMargins left="0.7" right="0.7" top="0.75" bottom="0.75" header="0.3" footer="0.3"/>
  <x:tableParts count="1">
    <x:tablePart xmlns:r="http://schemas.openxmlformats.org/officeDocument/2006/relationships" r:id="R0d14debcb5764513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5" hidden="0" customWidth="1"/>
    <x:col min="5" max="5" width="16" hidden="0" customWidth="1"/>
    <x:col min="6" max="6" width="29" hidden="0" customWidth="1"/>
    <x:col min="7" max="7" width="11" hidden="0" customWidth="1"/>
    <x:col min="8" max="8" width="35" hidden="0" customWidth="1"/>
    <x:col min="9" max="9" width="38" hidden="0" customWidth="1"/>
    <x:col min="10" max="10" width="14" hidden="0" customWidth="1"/>
  </x:cols>
  <x:sheetData>
    <x:row r="2" ht="28" customHeight="1">
      <x:c r="A2" s="1" t="str">
        <x:v>设备采购成本（CAPEX）</x:v>
      </x:c>
    </x:row>
    <x:row r="3" ht="32" customHeight="1">
      <x:c r="A3" s="3" t="str">
        <x:v>智能柜造价函数 900 + 24×格口数 由 8 组政府采购报价拟合得到，可直接作为 M2 容量优化模型中柜体投资项的线性成本系数；该函数反映的是金属室内柜柜体价，室外智能柜需在方案中标明上浮系数。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6" t="str">
        <x:v>参数类别</x:v>
      </x:c>
      <x:c r="B5" s="17" t="str">
        <x:v>参数项</x:v>
      </x:c>
      <x:c r="C5" s="17" t="str">
        <x:v>数值 / 区间</x:v>
      </x:c>
      <x:c r="D5" s="17" t="str">
        <x:v>单位</x:v>
      </x:c>
      <x:c r="E5" s="17" t="str">
        <x:v>推荐取值</x:v>
      </x:c>
      <x:c r="F5" s="17" t="str">
        <x:v>来源</x:v>
      </x:c>
      <x:c r="G5" s="17" t="str">
        <x:v>等级</x:v>
      </x:c>
      <x:c r="H5" s="17" t="str">
        <x:v>模型用途</x:v>
      </x:c>
      <x:c r="I5" s="17" t="str">
        <x:v>备注</x:v>
      </x:c>
      <x:c r="J5" s="18" t="str">
        <x:v>来源ID</x:v>
      </x:c>
    </x:row>
    <x:row r="6">
      <x:c r="A6" s="12" t="str">
        <x:v>无人车</x:v>
      </x:c>
      <x:c r="B6" s="12" t="str">
        <x:v>新石器 X3 官方标价</x:v>
      </x:c>
      <x:c r="C6" s="12" t="str">
        <x:v>14.5</x:v>
      </x:c>
      <x:c r="D6" s="12" t="str">
        <x:v>万元/台</x:v>
      </x:c>
      <x:c r="E6" s="12" t="str">
        <x:v>14.5</x:v>
      </x:c>
      <x:c r="F6" s="12" t="str">
        <x:v>新石器官网 neolix.net</x:v>
      </x:c>
      <x:c r="G6" s="12" t="str">
        <x:v>B</x:v>
      </x:c>
      <x:c r="H6" s="12" t="str">
        <x:v>M2 目标函数资本成本系数</x:v>
      </x:c>
      <x:c r="I6" s="12" t="str">
        <x:v>含 FSD 终身免费使用与升级</x:v>
      </x:c>
      <x:c r="J6" s="12" t="str">
        <x:v>SRC-E014</x:v>
      </x:c>
    </x:row>
    <x:row r="7">
      <x:c r="A7" s="12" t="str">
        <x:v>无人车</x:v>
      </x:c>
      <x:c r="B7" s="12" t="str">
        <x:v>新石器 X3 促销价</x:v>
      </x:c>
      <x:c r="C7" s="12" t="str">
        <x:v>11.5488</x:v>
      </x:c>
      <x:c r="D7" s="12" t="str">
        <x:v>万元/台</x:v>
      </x:c>
      <x:c r="E7" s="12" t="str">
        <x:v>11.55</x:v>
      </x:c>
      <x:c r="F7" s="12" t="str">
        <x:v>北京商报 2025-09-03</x:v>
      </x:c>
      <x:c r="G7" s="12" t="str">
        <x:v>D</x:v>
      </x:c>
      <x:c r="H7" s="12" t="str">
        <x:v>M2 资本成本下界</x:v>
      </x:c>
      <x:c r="I7" s="12" t="str">
        <x:v>零首付 48 期，月供 2406 元</x:v>
      </x:c>
      <x:c r="J7" s="12" t="str">
        <x:v>SRC-E015</x:v>
      </x:c>
    </x:row>
    <x:row r="8">
      <x:c r="A8" s="12" t="str">
        <x:v>无人车</x:v>
      </x:c>
      <x:c r="B8" s="12" t="str">
        <x:v>新石器 X6 官方标价</x:v>
      </x:c>
      <x:c r="C8" s="12" t="str">
        <x:v>15.5</x:v>
      </x:c>
      <x:c r="D8" s="12" t="str">
        <x:v>万元/台</x:v>
      </x:c>
      <x:c r="E8" s="12" t="str">
        <x:v>15.5</x:v>
      </x:c>
      <x:c r="F8" s="12" t="str">
        <x:v>新石器官网 neolix.net</x:v>
      </x:c>
      <x:c r="G8" s="12" t="str">
        <x:v>B</x:v>
      </x:c>
      <x:c r="H8" s="12" t="str">
        <x:v>M2 目标函数资本成本系数</x:v>
      </x:c>
      <x:c r="I8" s="12" t="str">
        <x:v>含 FSD 终身免费</x:v>
      </x:c>
      <x:c r="J8" s="12" t="str">
        <x:v>SRC-E014</x:v>
      </x:c>
    </x:row>
    <x:row r="9">
      <x:c r="A9" s="12" t="str">
        <x:v>无人车</x:v>
      </x:c>
      <x:c r="B9" s="12" t="str">
        <x:v>新石器 X6 促销价</x:v>
      </x:c>
      <x:c r="C9" s="12" t="str">
        <x:v>12.5088</x:v>
      </x:c>
      <x:c r="D9" s="12" t="str">
        <x:v>万元/台</x:v>
      </x:c>
      <x:c r="E9" s="12" t="str">
        <x:v>12.51</x:v>
      </x:c>
      <x:c r="F9" s="12" t="str">
        <x:v>北京商报 2025-09-03</x:v>
      </x:c>
      <x:c r="G9" s="12" t="str">
        <x:v>D</x:v>
      </x:c>
      <x:c r="H9" s="12" t="str">
        <x:v>M2 资本成本下界</x:v>
      </x:c>
      <x:c r="I9" s="12" t="str">
        <x:v>月供 2606 元</x:v>
      </x:c>
      <x:c r="J9" s="12" t="str">
        <x:v>SRC-E015</x:v>
      </x:c>
    </x:row>
    <x:row r="10">
      <x:c r="A10" s="12" t="str">
        <x:v>无人车</x:v>
      </x:c>
      <x:c r="B10" s="12" t="str">
        <x:v>新石器 X3 裸车价（研报口径）</x:v>
      </x:c>
      <x:c r="C10" s="12" t="str">
        <x:v>4.0</x:v>
      </x:c>
      <x:c r="D10" s="12" t="str">
        <x:v>万元/台</x:v>
      </x:c>
      <x:c r="E10" s="12" t="str">
        <x:v>—</x:v>
      </x:c>
      <x:c r="F10" s="12" t="str">
        <x:v>华泰证券研报</x:v>
      </x:c>
      <x:c r="G10" s="12" t="str">
        <x:v>C</x:v>
      </x:c>
      <x:c r="H10" s="12" t="str">
        <x:v>裸车+订阅模式测算</x:v>
      </x:c>
      <x:c r="I10" s="12" t="str">
        <x:v>另需 AI 服务费</x:v>
      </x:c>
      <x:c r="J10" s="12" t="str">
        <x:v>SRC-E010</x:v>
      </x:c>
    </x:row>
    <x:row r="11">
      <x:c r="A11" s="12" t="str">
        <x:v>无人车</x:v>
      </x:c>
      <x:c r="B11" s="12" t="str">
        <x:v>新石器 X6 裸车价（研报口径）</x:v>
      </x:c>
      <x:c r="C11" s="12" t="str">
        <x:v>5.0</x:v>
      </x:c>
      <x:c r="D11" s="12" t="str">
        <x:v>万元/台</x:v>
      </x:c>
      <x:c r="E11" s="12" t="str">
        <x:v>—</x:v>
      </x:c>
      <x:c r="F11" s="12" t="str">
        <x:v>华泰证券研报</x:v>
      </x:c>
      <x:c r="G11" s="12" t="str">
        <x:v>C</x:v>
      </x:c>
      <x:c r="H11" s="12" t="str">
        <x:v>裸车+订阅模式测算</x:v>
      </x:c>
      <x:c r="I11" s="12"/>
      <x:c r="J11" s="12" t="str">
        <x:v>SRC-E010</x:v>
      </x:c>
    </x:row>
    <x:row r="12">
      <x:c r="A12" s="12" t="str">
        <x:v>无人车</x:v>
      </x:c>
      <x:c r="B12" s="12" t="str">
        <x:v>AI / FSD 服务费</x:v>
      </x:c>
      <x:c r="C12" s="12" t="str">
        <x:v>0.7</x:v>
      </x:c>
      <x:c r="D12" s="12" t="str">
        <x:v>万元/季度·台</x:v>
      </x:c>
      <x:c r="E12" s="12" t="str">
        <x:v>2.8 万元/年</x:v>
      </x:c>
      <x:c r="F12" s="12" t="str">
        <x:v>华泰证券研报</x:v>
      </x:c>
      <x:c r="G12" s="12" t="str">
        <x:v>C</x:v>
      </x:c>
      <x:c r="H12" s="12" t="str">
        <x:v>订阅模式 OPEX</x:v>
      </x:c>
      <x:c r="I12" s="12" t="str">
        <x:v>若买断则不计</x:v>
      </x:c>
      <x:c r="J12" s="12" t="str">
        <x:v>SRC-E010</x:v>
      </x:c>
    </x:row>
    <x:row r="13">
      <x:c r="A13" s="12" t="str">
        <x:v>无人车</x:v>
      </x:c>
      <x:c r="B13" s="12" t="str">
        <x:v>行业车价+FSD 五年合计</x:v>
      </x:c>
      <x:c r="C13" s="12" t="str">
        <x:v>10–12</x:v>
      </x:c>
      <x:c r="D13" s="12" t="str">
        <x:v>万元/台</x:v>
      </x:c>
      <x:c r="E13" s="12" t="str">
        <x:v>—</x:v>
      </x:c>
      <x:c r="F13" s="12" t="str">
        <x:v>北京商报引述行业口径</x:v>
      </x:c>
      <x:c r="G13" s="12" t="str">
        <x:v>D</x:v>
      </x:c>
      <x:c r="H13" s="12" t="str">
        <x:v>交叉验证</x:v>
      </x:c>
      <x:c r="I13" s="12" t="str">
        <x:v>与 11.5/12.5 万促销价吻合</x:v>
      </x:c>
      <x:c r="J13" s="12" t="str">
        <x:v>SRC-E016</x:v>
      </x:c>
    </x:row>
    <x:row r="14">
      <x:c r="A14" s="12" t="str">
        <x:v>无人车</x:v>
      </x:c>
      <x:c r="B14" s="12" t="str">
        <x:v>九识 Z5-2026</x:v>
      </x:c>
      <x:c r="C14" s="12" t="str">
        <x:v>7.98 + 订阅 1900</x:v>
      </x:c>
      <x:c r="D14" s="12" t="str">
        <x:v>万元 / 元·月</x:v>
      </x:c>
      <x:c r="E14" s="12" t="str">
        <x:v>—</x:v>
      </x:c>
      <x:c r="F14" s="12" t="str">
        <x:v>新浪财经</x:v>
      </x:c>
      <x:c r="G14" s="12" t="str">
        <x:v>C</x:v>
      </x:c>
      <x:c r="H14" s="12" t="str">
        <x:v>价格下界</x:v>
      </x:c>
      <x:c r="I14" s="12"/>
      <x:c r="J14" s="12" t="str">
        <x:v>SRC-E017</x:v>
      </x:c>
    </x:row>
    <x:row r="15">
      <x:c r="A15" s="12" t="str">
        <x:v>无人车</x:v>
      </x:c>
      <x:c r="B15" s="12" t="str">
        <x:v>菜鸟 GTPro</x:v>
      </x:c>
      <x:c r="C15" s="12" t="str">
        <x:v>14.98 起（含 5 年服务费）</x:v>
      </x:c>
      <x:c r="D15" s="12" t="str">
        <x:v>万元/台</x:v>
      </x:c>
      <x:c r="E15" s="12" t="str">
        <x:v>—</x:v>
      </x:c>
      <x:c r="F15" s="12" t="str">
        <x:v>卡车之家</x:v>
      </x:c>
      <x:c r="G15" s="12" t="str">
        <x:v>D</x:v>
      </x:c>
      <x:c r="H15" s="12" t="str">
        <x:v>价格上界</x:v>
      </x:c>
      <x:c r="I15" s="12" t="str">
        <x:v>5 m³ / 750 kg / 180 km</x:v>
      </x:c>
      <x:c r="J15" s="12" t="str">
        <x:v>SRC-E008</x:v>
      </x:c>
    </x:row>
    <x:row r="16">
      <x:c r="A16" s="12" t="str">
        <x:v>无人车</x:v>
      </x:c>
      <x:c r="B16" s="12" t="str">
        <x:v>行业最低裸车</x:v>
      </x:c>
      <x:c r="C16" s="12" t="str">
        <x:v>1.98 起 + FSD 1800</x:v>
      </x:c>
      <x:c r="D16" s="12" t="str">
        <x:v>万元 / 元·月</x:v>
      </x:c>
      <x:c r="E16" s="12" t="str">
        <x:v>—</x:v>
      </x:c>
      <x:c r="F16" s="12" t="str">
        <x:v>卡车之家盘点</x:v>
      </x:c>
      <x:c r="G16" s="12" t="str">
        <x:v>D</x:v>
      </x:c>
      <x:c r="H16" s="12" t="str">
        <x:v>敏感性下界</x:v>
      </x:c>
      <x:c r="I16" s="12"/>
      <x:c r="J16" s="12" t="str">
        <x:v>SRC-E018</x:v>
      </x:c>
    </x:row>
    <x:row r="17">
      <x:c r="A17" s="12" t="str">
        <x:v>智能柜</x:v>
      </x:c>
      <x:c r="B17" s="12" t="str">
        <x:v>主柜 22 门</x:v>
      </x:c>
      <x:c r="C17" s="12" t="str">
        <x:v>2174 / 2195.6 / 2387</x:v>
      </x:c>
      <x:c r="D17" s="12" t="str">
        <x:v>元/台</x:v>
      </x:c>
      <x:c r="E17" s="12" t="str">
        <x:v>2200</x:v>
      </x:c>
      <x:c r="F17" s="12" t="str">
        <x:v>鄂尔多斯东胜区采购公示（三家报价）</x:v>
      </x:c>
      <x:c r="G17" s="12" t="str">
        <x:v>A</x:v>
      </x:c>
      <x:c r="H17" s="12" t="str">
        <x:v>柜体造价函数拟合</x:v>
      </x:c>
      <x:c r="I17" s="12" t="str">
        <x:v>递易/洛阳云骋/洛阳孜茁</x:v>
      </x:c>
      <x:c r="J17" s="12" t="str">
        <x:v>SRC-E019</x:v>
      </x:c>
    </x:row>
    <x:row r="18">
      <x:c r="A18" s="12" t="str">
        <x:v>智能柜</x:v>
      </x:c>
      <x:c r="B18" s="12" t="str">
        <x:v>副柜 10 门</x:v>
      </x:c>
      <x:c r="C18" s="12" t="str">
        <x:v>1131 / 1156.7 / 1166</x:v>
      </x:c>
      <x:c r="D18" s="12" t="str">
        <x:v>元/台</x:v>
      </x:c>
      <x:c r="E18" s="12" t="str">
        <x:v>1150</x:v>
      </x:c>
      <x:c r="F18" s="12" t="str">
        <x:v>鄂尔多斯东胜区采购公示</x:v>
      </x:c>
      <x:c r="G18" s="12" t="str">
        <x:v>A</x:v>
      </x:c>
      <x:c r="H18" s="12" t="str">
        <x:v>柜体造价函数拟合</x:v>
      </x:c>
      <x:c r="I18" s="12"/>
      <x:c r="J18" s="12" t="str">
        <x:v>SRC-E020</x:v>
      </x:c>
    </x:row>
    <x:row r="19">
      <x:c r="A19" s="12" t="str">
        <x:v>智能柜</x:v>
      </x:c>
      <x:c r="B19" s="12" t="str">
        <x:v>副柜 18 门</x:v>
      </x:c>
      <x:c r="C19" s="12" t="str">
        <x:v>1244 / 1238.9 / 1297</x:v>
      </x:c>
      <x:c r="D19" s="12" t="str">
        <x:v>元/台</x:v>
      </x:c>
      <x:c r="E19" s="12" t="str">
        <x:v>1250</x:v>
      </x:c>
      <x:c r="F19" s="12" t="str">
        <x:v>鄂尔多斯东胜区采购公示</x:v>
      </x:c>
      <x:c r="G19" s="12" t="str">
        <x:v>A</x:v>
      </x:c>
      <x:c r="H19" s="12" t="str">
        <x:v>柜体造价函数拟合</x:v>
      </x:c>
      <x:c r="I19" s="12"/>
      <x:c r="J19" s="12" t="str">
        <x:v>SRC-E020</x:v>
      </x:c>
    </x:row>
    <x:row r="20">
      <x:c r="A20" s="12" t="str">
        <x:v>智能柜</x:v>
      </x:c>
      <x:c r="B20" s="12" t="str">
        <x:v>副柜 24 门</x:v>
      </x:c>
      <x:c r="C20" s="12" t="str">
        <x:v>1440 / 1472.5 / 1516</x:v>
      </x:c>
      <x:c r="D20" s="12" t="str">
        <x:v>元/台</x:v>
      </x:c>
      <x:c r="E20" s="12" t="str">
        <x:v>1470</x:v>
      </x:c>
      <x:c r="F20" s="12" t="str">
        <x:v>鄂尔多斯东胜区采购公示</x:v>
      </x:c>
      <x:c r="G20" s="12" t="str">
        <x:v>A</x:v>
      </x:c>
      <x:c r="H20" s="12" t="str">
        <x:v>柜体造价函数拟合</x:v>
      </x:c>
      <x:c r="I20" s="12"/>
      <x:c r="J20" s="12" t="str">
        <x:v>SRC-E020</x:v>
      </x:c>
    </x:row>
    <x:row r="21">
      <x:c r="A21" s="12" t="str">
        <x:v>智能柜</x:v>
      </x:c>
      <x:c r="B21" s="12" t="str">
        <x:v>副柜 27 门</x:v>
      </x:c>
      <x:c r="C21" s="12" t="str">
        <x:v>1593 / 1666.15 / 1710</x:v>
      </x:c>
      <x:c r="D21" s="12" t="str">
        <x:v>元/台</x:v>
      </x:c>
      <x:c r="E21" s="12" t="str">
        <x:v>1650</x:v>
      </x:c>
      <x:c r="F21" s="12" t="str">
        <x:v>鄂尔多斯东胜区采购公示</x:v>
      </x:c>
      <x:c r="G21" s="12" t="str">
        <x:v>A</x:v>
      </x:c>
      <x:c r="H21" s="12" t="str">
        <x:v>柜体造价函数拟合</x:v>
      </x:c>
      <x:c r="I21" s="12"/>
      <x:c r="J21" s="12" t="str">
        <x:v>SRC-E020</x:v>
      </x:c>
    </x:row>
    <x:row r="22">
      <x:c r="A22" s="12" t="str">
        <x:v>智能柜</x:v>
      </x:c>
      <x:c r="B22" s="12" t="str">
        <x:v>副柜 32 门</x:v>
      </x:c>
      <x:c r="C22" s="12" t="str">
        <x:v>1625 / 1718.6 / 1752</x:v>
      </x:c>
      <x:c r="D22" s="12" t="str">
        <x:v>元/台</x:v>
      </x:c>
      <x:c r="E22" s="12" t="str">
        <x:v>1700</x:v>
      </x:c>
      <x:c r="F22" s="12" t="str">
        <x:v>鄂尔多斯东胜区采购公示</x:v>
      </x:c>
      <x:c r="G22" s="12" t="str">
        <x:v>A</x:v>
      </x:c>
      <x:c r="H22" s="12" t="str">
        <x:v>柜体造价函数拟合</x:v>
      </x:c>
      <x:c r="I22" s="12"/>
      <x:c r="J22" s="12" t="str">
        <x:v>SRC-E020</x:v>
      </x:c>
    </x:row>
    <x:row r="23">
      <x:c r="A23" s="12" t="str">
        <x:v>智能柜</x:v>
      </x:c>
      <x:c r="B23" s="12" t="str">
        <x:v>副柜 48 门</x:v>
      </x:c>
      <x:c r="C23" s="12" t="str">
        <x:v>2108 / 2169 / 2217</x:v>
      </x:c>
      <x:c r="D23" s="12" t="str">
        <x:v>元/台</x:v>
      </x:c>
      <x:c r="E23" s="12" t="str">
        <x:v>2150</x:v>
      </x:c>
      <x:c r="F23" s="12" t="str">
        <x:v>鄂尔多斯东胜区采购公示</x:v>
      </x:c>
      <x:c r="G23" s="12" t="str">
        <x:v>A</x:v>
      </x:c>
      <x:c r="H23" s="12" t="str">
        <x:v>柜体造价函数拟合</x:v>
      </x:c>
      <x:c r="I23" s="12"/>
      <x:c r="J23" s="12" t="str">
        <x:v>SRC-E020</x:v>
      </x:c>
    </x:row>
    <x:row r="24">
      <x:c r="A24" s="12" t="str">
        <x:v>智能柜</x:v>
      </x:c>
      <x:c r="B24" s="12" t="str">
        <x:v>副柜 64 门</x:v>
      </x:c>
      <x:c r="C24" s="12" t="str">
        <x:v>2430 / 2455.1 / 2553</x:v>
      </x:c>
      <x:c r="D24" s="12" t="str">
        <x:v>元/台</x:v>
      </x:c>
      <x:c r="E24" s="12" t="str">
        <x:v>2470</x:v>
      </x:c>
      <x:c r="F24" s="12" t="str">
        <x:v>鄂尔多斯东胜区采购公示</x:v>
      </x:c>
      <x:c r="G24" s="12" t="str">
        <x:v>A</x:v>
      </x:c>
      <x:c r="H24" s="12" t="str">
        <x:v>柜体造价函数拟合</x:v>
      </x:c>
      <x:c r="I24" s="12"/>
      <x:c r="J24" s="12" t="str">
        <x:v>SRC-E020</x:v>
      </x:c>
    </x:row>
    <x:row r="25">
      <x:c r="A25" s="12" t="str">
        <x:v>智能柜</x:v>
      </x:c>
      <x:c r="B25" s="12" t="str">
        <x:v>造价函数（拟合）</x:v>
      </x:c>
      <x:c r="C25" s="12" t="str">
        <x:v>≈ 900 + 24 × 格口数</x:v>
      </x:c>
      <x:c r="D25" s="12" t="str">
        <x:v>元</x:v>
      </x:c>
      <x:c r="E25" s="12" t="str">
        <x:v>见备注</x:v>
      </x:c>
      <x:c r="F25" s="12" t="str">
        <x:v>依据上列政府报价拟合</x:v>
      </x:c>
      <x:c r="G25" s="12" t="str">
        <x:v>A</x:v>
      </x:c>
      <x:c r="H25" s="12" t="str">
        <x:v>M2 容量优化成本项</x:v>
      </x:c>
      <x:c r="I25" s="12" t="str">
        <x:v>边际成本约 24 元/格，截距约 900 元</x:v>
      </x:c>
      <x:c r="J25" s="12" t="str">
        <x:v>SRC-E021</x:v>
      </x:c>
    </x:row>
    <x:row r="26">
      <x:c r="A26" s="12" t="str">
        <x:v>智能柜</x:v>
      </x:c>
      <x:c r="B26" s="12" t="str">
        <x:v>标准组（1 主 + 4 副 ≈ 104 格）</x:v>
      </x:c>
      <x:c r="C26" s="12" t="str">
        <x:v>约 3.0</x:v>
      </x:c>
      <x:c r="D26" s="12" t="str">
        <x:v>万元/组</x:v>
      </x:c>
      <x:c r="E26" s="12" t="str">
        <x:v>3.0</x:v>
      </x:c>
      <x:c r="F26" s="12" t="str">
        <x:v>券商研报</x:v>
      </x:c>
      <x:c r="G26" s="12" t="str">
        <x:v>C</x:v>
      </x:c>
      <x:c r="H26" s="12" t="str">
        <x:v>整组投资核算</x:v>
      </x:c>
      <x:c r="I26" s="12" t="str">
        <x:v>单格约 288 元（含主控与安装）</x:v>
      </x:c>
      <x:c r="J26" s="12" t="str">
        <x:v>SRC-E011</x:v>
      </x:c>
    </x:row>
    <x:row r="27">
      <x:c r="A27" s="12" t="str">
        <x:v>智能柜</x:v>
      </x:c>
      <x:c r="B27" s="12" t="str">
        <x:v>中国邮政云南采购单价</x:v>
      </x:c>
      <x:c r="C27" s="12" t="str">
        <x:v>1.67（丰巢）/ 2.20（递易）/ 2.17（鸿格子）</x:v>
      </x:c>
      <x:c r="D27" s="12" t="str">
        <x:v>万元/组</x:v>
      </x:c>
      <x:c r="E27" s="12" t="str">
        <x:v>2.0</x:v>
      </x:c>
      <x:c r="F27" s="12" t="str">
        <x:v>中国邮政中标候选人公示 2026-05</x:v>
      </x:c>
      <x:c r="G27" s="12" t="str">
        <x:v>B</x:v>
      </x:c>
      <x:c r="H27" s="12" t="str">
        <x:v>交叉验证</x:v>
      </x:c>
      <x:c r="I27" s="12" t="str">
        <x:v>含税单价报价合计</x:v>
      </x:c>
      <x:c r="J27" s="12" t="str">
        <x:v>SRC-E022</x:v>
      </x:c>
    </x:row>
    <x:row r="28">
      <x:c r="A28" s="12" t="str">
        <x:v>智能柜</x:v>
      </x:c>
      <x:c r="B28" s="12" t="str">
        <x:v>准格尔旗智慧驿站项目</x:v>
      </x:c>
      <x:c r="C28" s="12" t="str">
        <x:v>210.46</x:v>
      </x:c>
      <x:c r="D28" s="12" t="str">
        <x:v>万元/批</x:v>
      </x:c>
      <x:c r="E28" s="12" t="str">
        <x:v>—</x:v>
      </x:c>
      <x:c r="F28" s="12" t="str">
        <x:v>中国政府采购网 2025-12</x:v>
      </x:c>
      <x:c r="G28" s="12" t="str">
        <x:v>A</x:v>
      </x:c>
      <x:c r="H28" s="12" t="str">
        <x:v>整项目参照</x:v>
      </x:c>
      <x:c r="I28" s="12" t="str">
        <x:v>含多规格柜与智慧驿站</x:v>
      </x:c>
      <x:c r="J28" s="12" t="str">
        <x:v>SRC-E023</x:v>
      </x:c>
    </x:row>
    <x:row r="29">
      <x:c r="A29" s="12" t="str">
        <x:v>智能柜</x:v>
      </x:c>
      <x:c r="B29" s="12" t="str">
        <x:v>移动式智能柜</x:v>
      </x:c>
      <x:c r="C29" s="12" t="str">
        <x:v>39.2–39.52</x:v>
      </x:c>
      <x:c r="D29" s="12" t="str">
        <x:v>万元/批</x:v>
      </x:c>
      <x:c r="E29" s="12" t="str">
        <x:v>—</x:v>
      </x:c>
      <x:c r="F29" s="12" t="str">
        <x:v>鄂尔多斯邮政采购公示 2025-12</x:v>
      </x:c>
      <x:c r="G29" s="12" t="str">
        <x:v>B</x:v>
      </x:c>
      <x:c r="H29" s="12" t="str">
        <x:v>移动柜参照</x:v>
      </x:c>
      <x:c r="I29" s="12" t="str">
        <x:v>数量未披露</x:v>
      </x:c>
      <x:c r="J29" s="12" t="str">
        <x:v>SRC-E024</x:v>
      </x:c>
    </x:row>
    <x:row r="30">
      <x:c r="A30" s="12" t="str">
        <x:v>充换电</x:v>
      </x:c>
      <x:c r="B30" s="12" t="str">
        <x:v>换电柜（单台）</x:v>
      </x:c>
      <x:c r="C30" s="12" t="str">
        <x:v>1–6</x:v>
      </x:c>
      <x:c r="D30" s="12" t="str">
        <x:v>万元/台</x:v>
      </x:c>
      <x:c r="E30" s="12" t="str">
        <x:v>3</x:v>
      </x:c>
      <x:c r="F30" s="12" t="str">
        <x:v>百度爱采购行业百科</x:v>
      </x:c>
      <x:c r="G30" s="12" t="str">
        <x:v>D</x:v>
      </x:c>
      <x:c r="H30" s="12" t="str">
        <x:v>换电站 CAPEX</x:v>
      </x:c>
      <x:c r="I30" s="12" t="str">
        <x:v>带智能温控贵 30%</x:v>
      </x:c>
      <x:c r="J30" s="12" t="str">
        <x:v>SRC-E025</x:v>
      </x:c>
    </x:row>
    <x:row r="31">
      <x:c r="A31" s="12" t="str">
        <x:v>充换电</x:v>
      </x:c>
      <x:c r="B31" s="12" t="str">
        <x:v>电池组（磷酸铁锂）</x:v>
      </x:c>
      <x:c r="C31" s="12" t="str">
        <x:v>0.8–1.2</x:v>
      </x:c>
      <x:c r="D31" s="12" t="str">
        <x:v>万元/组</x:v>
      </x:c>
      <x:c r="E31" s="12" t="str">
        <x:v>1.0</x:v>
      </x:c>
      <x:c r="F31" s="12" t="str">
        <x:v>百度爱采购行业百科</x:v>
      </x:c>
      <x:c r="G31" s="12" t="str">
        <x:v>D</x:v>
      </x:c>
      <x:c r="H31" s="12" t="str">
        <x:v>换电站 CAPEX</x:v>
      </x:c>
      <x:c r="I31" s="12" t="str">
        <x:v>通常配 3–5 组/柜</x:v>
      </x:c>
      <x:c r="J31" s="12" t="str">
        <x:v>SRC-E025</x:v>
      </x:c>
    </x:row>
    <x:row r="32">
      <x:c r="A32" s="12" t="str">
        <x:v>充换电</x:v>
      </x:c>
      <x:c r="B32" s="12" t="str">
        <x:v>智能系统（物联网+平台）</x:v>
      </x:c>
      <x:c r="C32" s="12" t="str">
        <x:v>0.5–1</x:v>
      </x:c>
      <x:c r="D32" s="12" t="str">
        <x:v>万元/套</x:v>
      </x:c>
      <x:c r="E32" s="12" t="str">
        <x:v>0.8</x:v>
      </x:c>
      <x:c r="F32" s="12" t="str">
        <x:v>百度爱采购行业百科</x:v>
      </x:c>
      <x:c r="G32" s="12" t="str">
        <x:v>D</x:v>
      </x:c>
      <x:c r="H32" s="12" t="str">
        <x:v>换电站 CAPEX</x:v>
      </x:c>
      <x:c r="I32" s="12"/>
      <x:c r="J32" s="12" t="str">
        <x:v>SRC-E025</x:v>
      </x:c>
    </x:row>
    <x:row r="33">
      <x:c r="A33" s="12" t="str">
        <x:v>充换电</x:v>
      </x:c>
      <x:c r="B33" s="12" t="str">
        <x:v>电力扩容</x:v>
      </x:c>
      <x:c r="C33" s="12" t="str">
        <x:v>2000</x:v>
      </x:c>
      <x:c r="D33" s="12" t="str">
        <x:v>元/kW</x:v>
      </x:c>
      <x:c r="E33" s="12" t="str">
        <x:v>0.2 万元/kW</x:v>
      </x:c>
      <x:c r="F33" s="12" t="str">
        <x:v>百度爱采购行业百科</x:v>
      </x:c>
      <x:c r="G33" s="12" t="str">
        <x:v>D</x:v>
      </x:c>
      <x:c r="H33" s="12" t="str">
        <x:v>场地改造成本</x:v>
      </x:c>
      <x:c r="I33" s="12"/>
      <x:c r="J33" s="12" t="str">
        <x:v>SRC-E025</x:v>
      </x:c>
    </x:row>
    <x:row r="34">
      <x:c r="A34" s="12" t="str">
        <x:v>充换电</x:v>
      </x:c>
      <x:c r="B34" s="12" t="str">
        <x:v>防火改造</x:v>
      </x:c>
      <x:c r="C34" s="12" t="str">
        <x:v>200</x:v>
      </x:c>
      <x:c r="D34" s="12" t="str">
        <x:v>元/㎡</x:v>
      </x:c>
      <x:c r="E34" s="12" t="str">
        <x:v>—</x:v>
      </x:c>
      <x:c r="F34" s="12" t="str">
        <x:v>百度爱采购行业百科</x:v>
      </x:c>
      <x:c r="G34" s="12" t="str">
        <x:v>D</x:v>
      </x:c>
      <x:c r="H34" s="12" t="str">
        <x:v>场地改造成本</x:v>
      </x:c>
      <x:c r="I34" s="12"/>
      <x:c r="J34" s="12" t="str">
        <x:v>SRC-E025</x:v>
      </x:c>
    </x:row>
    <x:row r="35">
      <x:c r="A35" s="12" t="str">
        <x:v>充换电</x:v>
      </x:c>
      <x:c r="B35" s="12" t="str">
        <x:v>单座换电站（推算）</x:v>
      </x:c>
      <x:c r="C35" s="12" t="str">
        <x:v>6–12</x:v>
      </x:c>
      <x:c r="D35" s="12" t="str">
        <x:v>万元/座</x:v>
      </x:c>
      <x:c r="E35" s="12" t="str">
        <x:v>8</x:v>
      </x:c>
      <x:c r="F35" s="12" t="str">
        <x:v>按 1 柜+4 组电池+系统+改造推算</x:v>
      </x:c>
      <x:c r="G35" s="12" t="str">
        <x:v>E</x:v>
      </x:c>
      <x:c r="H35" s="12" t="str">
        <x:v>M2 换电设施布局成本</x:v>
      </x:c>
      <x:c r="I35" s="12" t="str">
        <x:v>E 级，需在方案中声明为假设</x:v>
      </x:c>
      <x:c r="J35" s="12" t="str">
        <x:v>SRC-E026</x:v>
      </x:c>
    </x:row>
    <x:row r="36">
      <x:c r="A36" s="12" t="str">
        <x:v>充换电</x:v>
      </x:c>
      <x:c r="B36" s="12" t="str">
        <x:v>换电柜月耗电</x:v>
      </x:c>
      <x:c r="C36" s="12" t="str">
        <x:v>200–300</x:v>
      </x:c>
      <x:c r="D36" s="12" t="str">
        <x:v>度/月·柜</x:v>
      </x:c>
      <x:c r="E36" s="12" t="str">
        <x:v>250</x:v>
      </x:c>
      <x:c r="F36" s="12" t="str">
        <x:v>百度爱采购行业百科</x:v>
      </x:c>
      <x:c r="G36" s="12" t="str">
        <x:v>D</x:v>
      </x:c>
      <x:c r="H36" s="12" t="str">
        <x:v>运营电费与碳排</x:v>
      </x:c>
      <x:c r="I36" s="12"/>
      <x:c r="J36" s="12" t="str">
        <x:v>SRC-E025</x:v>
      </x:c>
    </x:row>
  </x:sheetData>
  <x:pageMargins left="0.7" right="0.7" top="0.75" bottom="0.75" header="0.3" footer="0.3"/>
  <x:tableParts count="1">
    <x:tablePart xmlns:r="http://schemas.openxmlformats.org/officeDocument/2006/relationships" r:id="Ra1e279e1620d488c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5" hidden="0" customWidth="1"/>
    <x:col min="5" max="5" width="16" hidden="0" customWidth="1"/>
    <x:col min="6" max="6" width="29" hidden="0" customWidth="1"/>
    <x:col min="7" max="7" width="11" hidden="0" customWidth="1"/>
    <x:col min="8" max="8" width="35" hidden="0" customWidth="1"/>
    <x:col min="9" max="9" width="38" hidden="0" customWidth="1"/>
    <x:col min="10" max="10" width="14" hidden="0" customWidth="1"/>
  </x:cols>
  <x:sheetData>
    <x:row r="2" ht="28" customHeight="1">
      <x:c r="A2" s="1" t="str">
        <x:v>运营与运维成本（OPEX）</x:v>
      </x:c>
    </x:row>
    <x:row r="3" ht="32" customHeight="1">
      <x:c r="A3" s="3" t="str">
        <x:v>安全员人车比会显著影响成本。北京基准按每车指定/配备一名驾驶人；只有取得试点区明确调整依据后，才使用1:3、1:10或1:30等放宽情景。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6" t="str">
        <x:v>参数类别</x:v>
      </x:c>
      <x:c r="B5" s="17" t="str">
        <x:v>参数项</x:v>
      </x:c>
      <x:c r="C5" s="17" t="str">
        <x:v>数值 / 区间</x:v>
      </x:c>
      <x:c r="D5" s="17" t="str">
        <x:v>单位</x:v>
      </x:c>
      <x:c r="E5" s="17" t="str">
        <x:v>推荐取值</x:v>
      </x:c>
      <x:c r="F5" s="17" t="str">
        <x:v>来源</x:v>
      </x:c>
      <x:c r="G5" s="17" t="str">
        <x:v>等级</x:v>
      </x:c>
      <x:c r="H5" s="17" t="str">
        <x:v>模型用途</x:v>
      </x:c>
      <x:c r="I5" s="17" t="str">
        <x:v>备注</x:v>
      </x:c>
      <x:c r="J5" s="18" t="str">
        <x:v>来源ID</x:v>
      </x:c>
    </x:row>
    <x:row r="6">
      <x:c r="A6" s="12" t="str">
        <x:v>无人车能耗</x:v>
      </x:c>
      <x:c r="B6" s="12" t="str">
        <x:v>行业典型电耗</x:v>
      </x:c>
      <x:c r="C6" s="12" t="str">
        <x:v>0.06–0.12</x:v>
      </x:c>
      <x:c r="D6" s="12" t="str">
        <x:v>kWh/km</x:v>
      </x:c>
      <x:c r="E6" s="12" t="str">
        <x:v>0.09</x:v>
      </x:c>
      <x:c r="F6" s="12" t="str">
        <x:v>与非网《无人驾驶快递车电池》</x:v>
      </x:c>
      <x:c r="G6" s="12" t="str">
        <x:v>D</x:v>
      </x:c>
      <x:c r="H6" s="12" t="str">
        <x:v>电费与碳排放核算</x:v>
      </x:c>
      <x:c r="I6" s="12" t="str">
        <x:v>含激光雷达、工控机、5G</x:v>
      </x:c>
      <x:c r="J6" s="12" t="str">
        <x:v>SRC-E027</x:v>
      </x:c>
    </x:row>
    <x:row r="7">
      <x:c r="A7" s="12" t="str">
        <x:v>无人车能耗</x:v>
      </x:c>
      <x:c r="B7" s="12" t="str">
        <x:v>72V/150Ah 配置反推</x:v>
      </x:c>
      <x:c r="C7" s="12" t="str">
        <x:v>10.8 kWh ÷ 90–120 km ≈ 0.09–0.12</x:v>
      </x:c>
      <x:c r="D7" s="12" t="str">
        <x:v>kWh/km</x:v>
      </x:c>
      <x:c r="E7" s="12" t="str">
        <x:v>0.10</x:v>
      </x:c>
      <x:c r="F7" s="12" t="str">
        <x:v>与非网</x:v>
      </x:c>
      <x:c r="G7" s="12" t="str">
        <x:v>D</x:v>
      </x:c>
      <x:c r="H7" s="12" t="str">
        <x:v>交叉验证</x:v>
      </x:c>
      <x:c r="I7" s="12"/>
      <x:c r="J7" s="12" t="str">
        <x:v>SRC-E028</x:v>
      </x:c>
    </x:row>
    <x:row r="8">
      <x:c r="A8" s="12" t="str">
        <x:v>无人车能耗</x:v>
      </x:c>
      <x:c r="B8" s="12" t="str">
        <x:v>美团 V6 反推</x:v>
      </x:c>
      <x:c r="C8" s="12" t="str">
        <x:v>30 kWh ÷ 230 km = 0.13</x:v>
      </x:c>
      <x:c r="D8" s="12" t="str">
        <x:v>kWh/km</x:v>
      </x:c>
      <x:c r="E8" s="12" t="str">
        <x:v>—</x:v>
      </x:c>
      <x:c r="F8" s="12" t="str">
        <x:v>新战略低速无人车</x:v>
      </x:c>
      <x:c r="G8" s="12" t="str">
        <x:v>D</x:v>
      </x:c>
      <x:c r="H8" s="12" t="str">
        <x:v>交叉验证</x:v>
      </x:c>
      <x:c r="I8" s="12" t="str">
        <x:v>42 kWh 版本 0.14</x:v>
      </x:c>
      <x:c r="J8" s="12" t="str">
        <x:v>SRC-E009</x:v>
      </x:c>
    </x:row>
    <x:row r="9">
      <x:c r="A9" s="12" t="str">
        <x:v>无人车能耗</x:v>
      </x:c>
      <x:c r="B9" s="12" t="str">
        <x:v>易咖 M6 实测</x:v>
      </x:c>
      <x:c r="C9" s="12" t="str">
        <x:v>10</x:v>
      </x:c>
      <x:c r="D9" s="12" t="str">
        <x:v>kWh/100km</x:v>
      </x:c>
      <x:c r="E9" s="12" t="str">
        <x:v>0.10</x:v>
      </x:c>
      <x:c r="F9" s="12" t="str">
        <x:v>新战略低速无人车</x:v>
      </x:c>
      <x:c r="G9" s="12" t="str">
        <x:v>D</x:v>
      </x:c>
      <x:c r="H9" s="12" t="str">
        <x:v>交叉验证</x:v>
      </x:c>
      <x:c r="I9" s="12" t="str">
        <x:v>较同级省 25%</x:v>
      </x:c>
      <x:c r="J9" s="12" t="str">
        <x:v>SRC-E009</x:v>
      </x:c>
    </x:row>
    <x:row r="10">
      <x:c r="A10" s="12" t="str">
        <x:v>无人车能耗</x:v>
      </x:c>
      <x:c r="B10" s="12" t="str">
        <x:v>X3 推荐取值</x:v>
      </x:c>
      <x:c r="C10" s="12" t="str">
        <x:v>0.09</x:v>
      </x:c>
      <x:c r="D10" s="12" t="str">
        <x:v>kWh/km</x:v>
      </x:c>
      <x:c r="E10" s="12" t="str">
        <x:v>0.09</x:v>
      </x:c>
      <x:c r="F10" s="12" t="str">
        <x:v>综合推定</x:v>
      </x:c>
      <x:c r="G10" s="12" t="str">
        <x:v>E</x:v>
      </x:c>
      <x:c r="H10" s="12" t="str">
        <x:v>M4 电费与碳排</x:v>
      </x:c>
      <x:c r="I10" s="12" t="str">
        <x:v>区间 0.06–0.13</x:v>
      </x:c>
      <x:c r="J10" s="12" t="str">
        <x:v>SRC-E029</x:v>
      </x:c>
    </x:row>
    <x:row r="11">
      <x:c r="A11" s="12" t="str">
        <x:v>无人车能耗</x:v>
      </x:c>
      <x:c r="B11" s="12" t="str">
        <x:v>X6 推荐取值</x:v>
      </x:c>
      <x:c r="C11" s="12" t="str">
        <x:v>0.13</x:v>
      </x:c>
      <x:c r="D11" s="12" t="str">
        <x:v>kWh/km</x:v>
      </x:c>
      <x:c r="E11" s="12" t="str">
        <x:v>0.13</x:v>
      </x:c>
      <x:c r="F11" s="12" t="str">
        <x:v>综合推定</x:v>
      </x:c>
      <x:c r="G11" s="12" t="str">
        <x:v>E</x:v>
      </x:c>
      <x:c r="H11" s="12" t="str">
        <x:v>M4 电费与碳排</x:v>
      </x:c>
      <x:c r="I11" s="12" t="str">
        <x:v>载重大，取上限</x:v>
      </x:c>
      <x:c r="J11" s="12" t="str">
        <x:v>SRC-E029</x:v>
      </x:c>
    </x:row>
    <x:row r="12">
      <x:c r="A12" s="12" t="str">
        <x:v>无人车保险</x:v>
      </x:c>
      <x:c r="B12" s="12" t="str">
        <x:v>低速无人车专属三者险</x:v>
      </x:c>
      <x:c r="C12" s="12" t="str">
        <x:v>540（500 万保额）</x:v>
      </x:c>
      <x:c r="D12" s="12" t="str">
        <x:v>元/台·年</x:v>
      </x:c>
      <x:c r="E12" s="12" t="str">
        <x:v>540</x:v>
      </x:c>
      <x:c r="F12" s="12" t="str">
        <x:v>低速无人驾驶产业联盟 × 平安产险 × 中再产险</x:v>
      </x:c>
      <x:c r="G12" s="12" t="str">
        <x:v>B</x:v>
      </x:c>
      <x:c r="H12" s="12" t="str">
        <x:v>保险成本下界</x:v>
      </x:c>
      <x:c r="I12" s="12" t="str">
        <x:v>行业专属定制计划</x:v>
      </x:c>
      <x:c r="J12" s="12" t="str">
        <x:v>SRC-E030</x:v>
      </x:c>
    </x:row>
    <x:row r="13">
      <x:c r="A13" s="12" t="str">
        <x:v>无人车保险</x:v>
      </x:c>
      <x:c r="B13" s="12" t="str">
        <x:v>质量保证保险</x:v>
      </x:c>
      <x:c r="C13" s="12" t="str">
        <x:v>3900（100 万保额）</x:v>
      </x:c>
      <x:c r="D13" s="12" t="str">
        <x:v>元/台·年</x:v>
      </x:c>
      <x:c r="E13" s="12" t="str">
        <x:v>选配</x:v>
      </x:c>
      <x:c r="F13" s="12" t="str">
        <x:v>同上</x:v>
      </x:c>
      <x:c r="G13" s="12" t="str">
        <x:v>B</x:v>
      </x:c>
      <x:c r="H13" s="12" t="str">
        <x:v>可选成本项</x:v>
      </x:c>
      <x:c r="I13" s="12"/>
      <x:c r="J13" s="12" t="str">
        <x:v>SRC-E031</x:v>
      </x:c>
    </x:row>
    <x:row r="14">
      <x:c r="A14" s="12" t="str">
        <x:v>无人车保险</x:v>
      </x:c>
      <x:c r="B14" s="12" t="str">
        <x:v>公众责任险（现行）</x:v>
      </x:c>
      <x:c r="C14" s="12" t="str">
        <x:v>6000–10000</x:v>
      </x:c>
      <x:c r="D14" s="12" t="str">
        <x:v>元/台·年</x:v>
      </x:c>
      <x:c r="E14" s="12" t="str">
        <x:v>—</x:v>
      </x:c>
      <x:c r="F14" s="12" t="str">
        <x:v>有驾/行业媒体</x:v>
      </x:c>
      <x:c r="G14" s="12" t="str">
        <x:v>D</x:v>
      </x:c>
      <x:c r="H14" s="12" t="str">
        <x:v>现状参照</x:v>
      </x:c>
      <x:c r="I14" s="12" t="str">
        <x:v>条款限园区仓库封闭道路</x:v>
      </x:c>
      <x:c r="J14" s="12" t="str">
        <x:v>SRC-E032</x:v>
      </x:c>
    </x:row>
    <x:row r="15">
      <x:c r="A15" s="12" t="str">
        <x:v>无人车保险</x:v>
      </x:c>
      <x:c r="B15" s="12" t="str">
        <x:v>新规要求（交强险+500 万三者）</x:v>
      </x:c>
      <x:c r="C15" s="12" t="str">
        <x:v>8000–12000</x:v>
      </x:c>
      <x:c r="D15" s="12" t="str">
        <x:v>元/台·年</x:v>
      </x:c>
      <x:c r="E15" s="12" t="str">
        <x:v>—</x:v>
      </x:c>
      <x:c r="F15" s="12" t="str">
        <x:v>行业媒体解读 2026-07 新规</x:v>
      </x:c>
      <x:c r="G15" s="12" t="str">
        <x:v>D</x:v>
      </x:c>
      <x:c r="H15" s="12" t="str">
        <x:v>保险成本上界</x:v>
      </x:c>
      <x:c r="I15" s="12" t="str">
        <x:v>合规成本显著上升</x:v>
      </x:c>
      <x:c r="J15" s="12" t="str">
        <x:v>SRC-E033</x:v>
      </x:c>
    </x:row>
    <x:row r="16">
      <x:c r="A16" s="12" t="str">
        <x:v>无人车保险</x:v>
      </x:c>
      <x:c r="B16" s="12" t="str">
        <x:v>券商测算假设</x:v>
      </x:c>
      <x:c r="C16" s="12" t="str">
        <x:v>300</x:v>
      </x:c>
      <x:c r="D16" s="12" t="str">
        <x:v>元/台·年</x:v>
      </x:c>
      <x:c r="E16" s="12" t="str">
        <x:v>—</x:v>
      </x:c>
      <x:c r="F16" s="12" t="str">
        <x:v>新浪财经研报</x:v>
      </x:c>
      <x:c r="G16" s="12" t="str">
        <x:v>C</x:v>
      </x:c>
      <x:c r="H16" s="12" t="str">
        <x:v>参考（明显偏低）</x:v>
      </x:c>
      <x:c r="I16" s="12" t="str">
        <x:v>不宜直接采用</x:v>
      </x:c>
      <x:c r="J16" s="12" t="str">
        <x:v>SRC-E034</x:v>
      </x:c>
    </x:row>
    <x:row r="17">
      <x:c r="A17" s="12" t="str">
        <x:v>无人车保险</x:v>
      </x:c>
      <x:c r="B17" s="12" t="str">
        <x:v>推荐取值</x:v>
      </x:c>
      <x:c r="C17" s="12" t="str">
        <x:v>3000–6000</x:v>
      </x:c>
      <x:c r="D17" s="12" t="str">
        <x:v>元/台·年</x:v>
      </x:c>
      <x:c r="E17" s="12" t="str">
        <x:v>4000</x:v>
      </x:c>
      <x:c r="F17" s="12" t="str">
        <x:v>综合推定</x:v>
      </x:c>
      <x:c r="G17" s="12" t="str">
        <x:v>E</x:v>
      </x:c>
      <x:c r="H17" s="12" t="str">
        <x:v>M4 运营成本</x:v>
      </x:c>
      <x:c r="I17" s="12" t="str">
        <x:v>北京开放道路运营，取中偏高</x:v>
      </x:c>
      <x:c r="J17" s="12" t="str">
        <x:v>SRC-E029</x:v>
      </x:c>
    </x:row>
    <x:row r="18">
      <x:c r="A18" s="12" t="str">
        <x:v>无人车维保</x:v>
      </x:c>
      <x:c r="B18" s="12" t="str">
        <x:v>年检 + 月度检修</x:v>
      </x:c>
      <x:c r="C18" s="12" t="str">
        <x:v>≥ 3000</x:v>
      </x:c>
      <x:c r="D18" s="12" t="str">
        <x:v>元/台·年</x:v>
      </x:c>
      <x:c r="E18" s="12" t="str">
        <x:v>4000</x:v>
      </x:c>
      <x:c r="F18" s="12" t="str">
        <x:v>行业媒体（新规解读）</x:v>
      </x:c>
      <x:c r="G18" s="12" t="str">
        <x:v>D</x:v>
      </x:c>
      <x:c r="H18" s="12" t="str">
        <x:v>M4 运营成本</x:v>
      </x:c>
      <x:c r="I18" s="12" t="str">
        <x:v>含上线检测与传感器专业检修</x:v>
      </x:c>
      <x:c r="J18" s="12" t="str">
        <x:v>SRC-E035</x:v>
      </x:c>
    </x:row>
    <x:row r="19">
      <x:c r="A19" s="12" t="str">
        <x:v>无人车维保</x:v>
      </x:c>
      <x:c r="B19" s="12" t="str">
        <x:v>券商测算假设</x:v>
      </x:c>
      <x:c r="C19" s="12" t="str">
        <x:v>50</x:v>
      </x:c>
      <x:c r="D19" s="12" t="str">
        <x:v>元/台·月</x:v>
      </x:c>
      <x:c r="E19" s="12" t="str">
        <x:v>600/年</x:v>
      </x:c>
      <x:c r="F19" s="12" t="str">
        <x:v>新浪财经研报</x:v>
      </x:c>
      <x:c r="G19" s="12" t="str">
        <x:v>C</x:v>
      </x:c>
      <x:c r="H19" s="12" t="str">
        <x:v>参考（偏低）</x:v>
      </x:c>
      <x:c r="I19" s="12"/>
      <x:c r="J19" s="12" t="str">
        <x:v>SRC-E034</x:v>
      </x:c>
    </x:row>
    <x:row r="20">
      <x:c r="A20" s="12" t="str">
        <x:v>无人车维保</x:v>
      </x:c>
      <x:c r="B20" s="12" t="str">
        <x:v>高精地图</x:v>
      </x:c>
      <x:c r="C20" s="12" t="str">
        <x:v>12000</x:v>
      </x:c>
      <x:c r="D20" s="12" t="str">
        <x:v>元/台·年</x:v>
      </x:c>
      <x:c r="E20" s="12" t="str">
        <x:v>12000</x:v>
      </x:c>
      <x:c r="F20" s="12" t="str">
        <x:v>行业媒体（南通案例）</x:v>
      </x:c>
      <x:c r="G20" s="12" t="str">
        <x:v>D</x:v>
      </x:c>
      <x:c r="H20" s="12" t="str">
        <x:v>易被忽略的重要成本</x:v>
      </x:c>
      <x:c r="I20" s="12" t="str">
        <x:v>若采用轻地图方案可省</x:v>
      </x:c>
      <x:c r="J20" s="12" t="str">
        <x:v>SRC-E036</x:v>
      </x:c>
    </x:row>
    <x:row r="21">
      <x:c r="A21" s="12" t="str">
        <x:v>无人车维保</x:v>
      </x:c>
      <x:c r="B21" s="12" t="str">
        <x:v>传感器自动清洗喷嘴</x:v>
      </x:c>
      <x:c r="C21" s="12" t="str">
        <x:v>3000</x:v>
      </x:c>
      <x:c r="D21" s="12" t="str">
        <x:v>元/套</x:v>
      </x:c>
      <x:c r="E21" s="12" t="str">
        <x:v>选配</x:v>
      </x:c>
      <x:c r="F21" s="12" t="str">
        <x:v>有驾</x:v>
      </x:c>
      <x:c r="G21" s="12" t="str">
        <x:v>D</x:v>
      </x:c>
      <x:c r="H21" s="12" t="str">
        <x:v>选配</x:v>
      </x:c>
      <x:c r="I21" s="12" t="str">
        <x:v>应对扬尘导致感知衰减</x:v>
      </x:c>
      <x:c r="J21" s="12" t="str">
        <x:v>SRC-E037</x:v>
      </x:c>
    </x:row>
    <x:row r="22">
      <x:c r="A22" s="12" t="str">
        <x:v>安全员</x:v>
      </x:c>
      <x:c r="B22" s="12" t="str">
        <x:v>交通运输部指南（出租汽车）</x:v>
      </x:c>
      <x:c r="C22" s="12" t="str">
        <x:v>不低于 1:3</x:v>
      </x:c>
      <x:c r="D22" s="12" t="str">
        <x:v>人:车</x:v>
      </x:c>
      <x:c r="E22" s="12" t="str">
        <x:v>—</x:v>
      </x:c>
      <x:c r="F22" s="12" t="str">
        <x:v>《自动驾驶汽车运输安全服务指南（试行）》</x:v>
      </x:c>
      <x:c r="G22" s="12" t="str">
        <x:v>A</x:v>
      </x:c>
      <x:c r="H22" s="12" t="str">
        <x:v>政策上界（最保守）</x:v>
      </x:c>
      <x:c r="I22" s="12" t="str">
        <x:v>低速无人配送车不在其适用范围</x:v>
      </x:c>
      <x:c r="J22" s="12" t="str">
        <x:v>SRC-E038</x:v>
      </x:c>
    </x:row>
    <x:row r="23">
      <x:c r="A23" s="12" t="str">
        <x:v>安全员</x:v>
      </x:c>
      <x:c r="B23" s="12" t="str">
        <x:v>南通市实施细则</x:v>
      </x:c>
      <x:c r="C23" s="12" t="str">
        <x:v>不低于 1:5</x:v>
      </x:c>
      <x:c r="D23" s="12" t="str">
        <x:v>人:车</x:v>
      </x:c>
      <x:c r="E23" s="12" t="str">
        <x:v>—</x:v>
      </x:c>
      <x:c r="F23" s="12" t="str">
        <x:v>南通《无人驾驶装备商业示范应用管理实施细则》2025-12</x:v>
      </x:c>
      <x:c r="G23" s="12" t="str">
        <x:v>A</x:v>
      </x:c>
      <x:c r="H23" s="12" t="str">
        <x:v>地方规定参照</x:v>
      </x:c>
      <x:c r="I23" s="12" t="str">
        <x:v>另要求事故后 30 分钟内到场</x:v>
      </x:c>
      <x:c r="J23" s="12" t="str">
        <x:v>SRC-E039</x:v>
      </x:c>
    </x:row>
    <x:row r="24">
      <x:c r="A24" s="12" t="str">
        <x:v>安全员</x:v>
      </x:c>
      <x:c r="B24" s="12" t="str">
        <x:v>来宾市管理办法</x:v>
      </x:c>
      <x:c r="C24" s="12" t="str">
        <x:v>不超过 1:30</x:v>
      </x:c>
      <x:c r="D24" s="12" t="str">
        <x:v>人:车</x:v>
      </x:c>
      <x:c r="E24" s="12" t="str">
        <x:v>—</x:v>
      </x:c>
      <x:c r="F24" s="12" t="str">
        <x:v>来宾市《无人驾驶装备运营管理办法（试行）》2026</x:v>
      </x:c>
      <x:c r="G24" s="12" t="str">
        <x:v>A</x:v>
      </x:c>
      <x:c r="H24" s="12" t="str">
        <x:v>政策下界（最宽松）</x:v>
      </x:c>
      <x:c r="I24" s="12" t="str">
        <x:v>明确「一名安全员同时监控不超过 30 辆」</x:v>
      </x:c>
      <x:c r="J24" s="12" t="str">
        <x:v>SRC-E040</x:v>
      </x:c>
    </x:row>
    <x:row r="25">
      <x:c r="A25" s="12" t="str">
        <x:v>安全员</x:v>
      </x:c>
      <x:c r="B25" s="12" t="str">
        <x:v>马鞍山指导意见</x:v>
      </x:c>
      <x:c r="C25" s="12" t="str">
        <x:v>第 1 年 1:1，一年后会商</x:v>
      </x:c>
      <x:c r="D25" s="12" t="str">
        <x:v>人:车</x:v>
      </x:c>
      <x:c r="E25" s="12" t="str">
        <x:v>—</x:v>
      </x:c>
      <x:c r="F25" s="12" t="str">
        <x:v>马鞍山市邮政快递无人车指导意见</x:v>
      </x:c>
      <x:c r="G25" s="12" t="str">
        <x:v>A</x:v>
      </x:c>
      <x:c r="H25" s="12" t="str">
        <x:v>最严格情形</x:v>
      </x:c>
      <x:c r="I25" s="12" t="str">
        <x:v>适用于示范初期</x:v>
      </x:c>
      <x:c r="J25" s="12" t="str">
        <x:v>SRC-E041</x:v>
      </x:c>
    </x:row>
    <x:row r="26">
      <x:c r="A26" s="12" t="str">
        <x:v>安全员</x:v>
      </x:c>
      <x:c r="B26" s="12" t="str">
        <x:v>行业实践（城市物流车）</x:v>
      </x:c>
      <x:c r="C26" s="12" t="str">
        <x:v>1:20</x:v>
      </x:c>
      <x:c r="D26" s="12" t="str">
        <x:v>人:车</x:v>
      </x:c>
      <x:c r="E26" s="12" t="str">
        <x:v>—</x:v>
      </x:c>
      <x:c r="F26" s="12" t="str">
        <x:v>布谷鸟同创公开分享</x:v>
      </x:c>
      <x:c r="G26" s="12" t="str">
        <x:v>D</x:v>
      </x:c>
      <x:c r="H26" s="12" t="str">
        <x:v>工程可行值</x:v>
      </x:c>
      <x:c r="I26" s="12" t="str">
        <x:v>封闭牧场可达 1:80</x:v>
      </x:c>
      <x:c r="J26" s="12" t="str">
        <x:v>SRC-E042</x:v>
      </x:c>
    </x:row>
    <x:row r="27">
      <x:c r="A27" s="12" t="str">
        <x:v>安全员</x:v>
      </x:c>
      <x:c r="B27" s="12" t="str">
        <x:v>推荐取值</x:v>
      </x:c>
      <x:c r="C27" s="12" t="str">
        <x:v>1:10</x:v>
      </x:c>
      <x:c r="D27" s="12" t="str">
        <x:v>人:车</x:v>
      </x:c>
      <x:c r="E27" s="12" t="str">
        <x:v>1:10</x:v>
      </x:c>
      <x:c r="F27" s="12" t="str">
        <x:v>综合推定</x:v>
      </x:c>
      <x:c r="G27" s="12" t="str">
        <x:v>E</x:v>
      </x:c>
      <x:c r="H27" s="12" t="str">
        <x:v>M3 人力成本、M2 规模经济上限</x:v>
      </x:c>
      <x:c r="I27" s="12" t="str">
        <x:v>北京路况复杂，取中间偏保守；上下界 1:3 / 1:30</x:v>
      </x:c>
      <x:c r="J27" s="12" t="str">
        <x:v>SRC-E029</x:v>
      </x:c>
    </x:row>
    <x:row r="28">
      <x:c r="A28" s="12" t="str">
        <x:v>安全员</x:v>
      </x:c>
      <x:c r="B28" s="12" t="str">
        <x:v>远程座席月均成本</x:v>
      </x:c>
      <x:c r="C28" s="12" t="str">
        <x:v>20000</x:v>
      </x:c>
      <x:c r="D28" s="12" t="str">
        <x:v>元/席·月</x:v>
      </x:c>
      <x:c r="E28" s="12" t="str">
        <x:v>20000</x:v>
      </x:c>
      <x:c r="F28" s="12" t="str">
        <x:v>CTP 无人车行业测算</x:v>
      </x:c>
      <x:c r="G28" s="12" t="str">
        <x:v>D</x:v>
      </x:c>
      <x:c r="H28" s="12" t="str">
        <x:v>折算单车成本</x:v>
      </x:c>
      <x:c r="I28" s="12" t="str">
        <x:v>1:20→1000 元/车·月；1:3→6667 元/车·月</x:v>
      </x:c>
      <x:c r="J28" s="12" t="str">
        <x:v>SRC-E043</x:v>
      </x:c>
    </x:row>
    <x:row r="29">
      <x:c r="A29" s="12" t="str">
        <x:v>综合校验</x:v>
      </x:c>
      <x:c r="B29" s="12" t="str">
        <x:v>单台综合月度运营成本</x:v>
      </x:c>
      <x:c r="C29" s="12" t="str">
        <x:v>4000–5500</x:v>
      </x:c>
      <x:c r="D29" s="12" t="str">
        <x:v>元/台·月</x:v>
      </x:c>
      <x:c r="E29" s="12" t="str">
        <x:v>48000–66000 元/年</x:v>
      </x:c>
      <x:c r="F29" s="12" t="str">
        <x:v>CTP 无人车 / 有驾</x:v>
      </x:c>
      <x:c r="G29" s="12" t="str">
        <x:v>D</x:v>
      </x:c>
      <x:c r="H29" s="12" t="str">
        <x:v>M4 结果合理性校验</x:v>
      </x:c>
      <x:c r="I29" s="12" t="str">
        <x:v>含充电、维修、后台监控</x:v>
      </x:c>
      <x:c r="J29" s="12" t="str">
        <x:v>SRC-E044</x:v>
      </x:c>
    </x:row>
    <x:row r="30">
      <x:c r="A30" s="12" t="str">
        <x:v>智能柜运维</x:v>
      </x:c>
      <x:c r="B30" s="12" t="str">
        <x:v>场地租金（进场费）</x:v>
      </x:c>
      <x:c r="C30" s="12" t="str">
        <x:v>5000–8000</x:v>
      </x:c>
      <x:c r="D30" s="12" t="str">
        <x:v>元/组·年</x:v>
      </x:c>
      <x:c r="E30" s="12" t="str">
        <x:v>8000</x:v>
      </x:c>
      <x:c r="F30" s="12" t="str">
        <x:v>中国房地产网 / 兴业证券</x:v>
      </x:c>
      <x:c r="G30" s="12" t="str">
        <x:v>C</x:v>
      </x:c>
      <x:c r="H30" s="12" t="str">
        <x:v>M4 运营成本主项</x:v>
      </x:c>
      <x:c r="I30" s="12" t="str">
        <x:v>约占运营成本 40–50%，北京取上限</x:v>
      </x:c>
      <x:c r="J30" s="12" t="str">
        <x:v>SRC-E045</x:v>
      </x:c>
    </x:row>
    <x:row r="31">
      <x:c r="A31" s="12" t="str">
        <x:v>智能柜运维</x:v>
      </x:c>
      <x:c r="B31" s="12" t="str">
        <x:v>进驻小区费</x:v>
      </x:c>
      <x:c r="C31" s="12" t="str">
        <x:v>约 3000</x:v>
      </x:c>
      <x:c r="D31" s="12" t="str">
        <x:v>元/组·年</x:v>
      </x:c>
      <x:c r="E31" s="12" t="str">
        <x:v>3000</x:v>
      </x:c>
      <x:c r="F31" s="12" t="str">
        <x:v>兴业证券研报</x:v>
      </x:c>
      <x:c r="G31" s="12" t="str">
        <x:v>C</x:v>
      </x:c>
      <x:c r="H31" s="12" t="str">
        <x:v>M4 运营成本</x:v>
      </x:c>
      <x:c r="I31" s="12" t="str">
        <x:v>占 30–40%</x:v>
      </x:c>
      <x:c r="J31" s="12" t="str">
        <x:v>SRC-E046</x:v>
      </x:c>
    </x:row>
    <x:row r="32">
      <x:c r="A32" s="12" t="str">
        <x:v>智能柜运维</x:v>
      </x:c>
      <x:c r="B32" s="12" t="str">
        <x:v>维护成本</x:v>
      </x:c>
      <x:c r="C32" s="12" t="str">
        <x:v>3000</x:v>
      </x:c>
      <x:c r="D32" s="12" t="str">
        <x:v>元/组·年</x:v>
      </x:c>
      <x:c r="E32" s="12" t="str">
        <x:v>3000</x:v>
      </x:c>
      <x:c r="F32" s="12" t="str">
        <x:v>券商研报</x:v>
      </x:c>
      <x:c r="G32" s="12" t="str">
        <x:v>C</x:v>
      </x:c>
      <x:c r="H32" s="12" t="str">
        <x:v>M4 运营成本</x:v>
      </x:c>
      <x:c r="I32" s="12" t="str">
        <x:v>故障维修与日常保养</x:v>
      </x:c>
      <x:c r="J32" s="12" t="str">
        <x:v>SRC-E011</x:v>
      </x:c>
    </x:row>
    <x:row r="33">
      <x:c r="A33" s="12" t="str">
        <x:v>智能柜运维</x:v>
      </x:c>
      <x:c r="B33" s="12" t="str">
        <x:v>电费</x:v>
      </x:c>
      <x:c r="C33" s="12" t="str">
        <x:v>438–730</x:v>
      </x:c>
      <x:c r="D33" s="12" t="str">
        <x:v>元/组·年</x:v>
      </x:c>
      <x:c r="E33" s="12" t="str">
        <x:v>600</x:v>
      </x:c>
      <x:c r="F33" s="12" t="str">
        <x:v>券商研报（日耗 2 度）</x:v>
      </x:c>
      <x:c r="G33" s="12" t="str">
        <x:v>C</x:v>
      </x:c>
      <x:c r="H33" s="12" t="str">
        <x:v>M4 运营成本与碳排</x:v>
      </x:c>
      <x:c r="I33" s="12"/>
      <x:c r="J33" s="12" t="str">
        <x:v>SRC-E047</x:v>
      </x:c>
    </x:row>
    <x:row r="34">
      <x:c r="A34" s="12" t="str">
        <x:v>智能柜运维</x:v>
      </x:c>
      <x:c r="B34" s="12" t="str">
        <x:v>联网费</x:v>
      </x:c>
      <x:c r="C34" s="12" t="str">
        <x:v>1000–1500</x:v>
      </x:c>
      <x:c r="D34" s="12" t="str">
        <x:v>元/组·年</x:v>
      </x:c>
      <x:c r="E34" s="12" t="str">
        <x:v>1200</x:v>
      </x:c>
      <x:c r="F34" s="12" t="str">
        <x:v>券商研报</x:v>
      </x:c>
      <x:c r="G34" s="12" t="str">
        <x:v>C</x:v>
      </x:c>
      <x:c r="H34" s="12" t="str">
        <x:v>M4 运营成本</x:v>
      </x:c>
      <x:c r="I34" s="12"/>
      <x:c r="J34" s="12" t="str">
        <x:v>SRC-E011</x:v>
      </x:c>
    </x:row>
    <x:row r="35">
      <x:c r="A35" s="12" t="str">
        <x:v>智能柜运维</x:v>
      </x:c>
      <x:c r="B35" s="12" t="str">
        <x:v>物业管理费</x:v>
      </x:c>
      <x:c r="C35" s="12" t="str">
        <x:v>360–600</x:v>
      </x:c>
      <x:c r="D35" s="12" t="str">
        <x:v>元/组·年</x:v>
      </x:c>
      <x:c r="E35" s="12" t="str">
        <x:v>500</x:v>
      </x:c>
      <x:c r="F35" s="12" t="str">
        <x:v>券商研报（30–50 元/月）</x:v>
      </x:c>
      <x:c r="G35" s="12" t="str">
        <x:v>C</x:v>
      </x:c>
      <x:c r="H35" s="12" t="str">
        <x:v>M4 运营成本</x:v>
      </x:c>
      <x:c r="I35" s="12" t="str">
        <x:v>部分小区收取</x:v>
      </x:c>
      <x:c r="J35" s="12" t="str">
        <x:v>SRC-E048</x:v>
      </x:c>
    </x:row>
    <x:row r="36">
      <x:c r="A36" s="12" t="str">
        <x:v>智能柜运维</x:v>
      </x:c>
      <x:c r="B36" s="12" t="str">
        <x:v>单组合计（研报口径）</x:v>
      </x:c>
      <x:c r="C36" s="12" t="str">
        <x:v>8000–10000（兴业）/ 16788（含租金 8000）</x:v>
      </x:c>
      <x:c r="D36" s="12" t="str">
        <x:v>元/组·年</x:v>
      </x:c>
      <x:c r="E36" s="12" t="str">
        <x:v>14000</x:v>
      </x:c>
      <x:c r="F36" s="12" t="str">
        <x:v>兴业证券 / 首席商业评论</x:v>
      </x:c>
      <x:c r="G36" s="12" t="str">
        <x:v>C</x:v>
      </x:c>
      <x:c r="H36" s="12" t="str">
        <x:v>M4 运营成本核算</x:v>
      </x:c>
      <x:c r="I36" s="12" t="str">
        <x:v>折旧另计</x:v>
      </x:c>
      <x:c r="J36" s="12" t="str">
        <x:v>SRC-E049</x:v>
      </x:c>
    </x:row>
    <x:row r="37">
      <x:c r="A37" s="12" t="str">
        <x:v>充换电运维</x:v>
      </x:c>
      <x:c r="B37" s="12" t="str">
        <x:v>维护团队</x:v>
      </x:c>
      <x:c r="C37" s="12" t="str">
        <x:v>5 人管 50 台，月成本 2.5 万</x:v>
      </x:c>
      <x:c r="D37" s="12" t="str">
        <x:v>元/月</x:v>
      </x:c>
      <x:c r="E37" s="12" t="str">
        <x:v>5000 元/人·月</x:v>
      </x:c>
      <x:c r="F37" s="12" t="str">
        <x:v>百度爱采购行业百科</x:v>
      </x:c>
      <x:c r="G37" s="12" t="str">
        <x:v>D</x:v>
      </x:c>
      <x:c r="H37" s="12" t="str">
        <x:v>换电站 OPEX</x:v>
      </x:c>
      <x:c r="I37" s="12" t="str">
        <x:v>即 1 人管 10 台柜</x:v>
      </x:c>
      <x:c r="J37" s="12" t="str">
        <x:v>SRC-E025</x:v>
      </x:c>
    </x:row>
    <x:row r="38">
      <x:c r="A38" s="12" t="str">
        <x:v>充换电运维</x:v>
      </x:c>
      <x:c r="B38" s="12" t="str">
        <x:v>电池更新</x:v>
      </x:c>
      <x:c r="C38" s="12" t="str">
        <x:v>每 3–5 年更换，占总投入 15%</x:v>
      </x:c>
      <x:c r="D38" s="12" t="str">
        <x:v>—</x:v>
      </x:c>
      <x:c r="E38" s="12" t="str">
        <x:v>15%</x:v>
      </x:c>
      <x:c r="F38" s="12" t="str">
        <x:v>百度爱采购行业百科</x:v>
      </x:c>
      <x:c r="G38" s="12" t="str">
        <x:v>D</x:v>
      </x:c>
      <x:c r="H38" s="12" t="str">
        <x:v>换电站周期性成本</x:v>
      </x:c>
      <x:c r="I38" s="12"/>
      <x:c r="J38" s="12" t="str">
        <x:v>SRC-E025</x:v>
      </x:c>
    </x:row>
  </x:sheetData>
  <x:pageMargins left="0.7" right="0.7" top="0.75" bottom="0.75" header="0.3" footer="0.3"/>
  <x:tableParts count="1">
    <x:tablePart xmlns:r="http://schemas.openxmlformats.org/officeDocument/2006/relationships" r:id="R81610f485a844d54"/>
  </x:tableParts>
</x:worksheet>
</file>

<file path=xl/worksheets/sheet7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5" hidden="0" customWidth="1"/>
    <x:col min="5" max="5" width="16" hidden="0" customWidth="1"/>
    <x:col min="6" max="6" width="29" hidden="0" customWidth="1"/>
    <x:col min="7" max="7" width="11" hidden="0" customWidth="1"/>
    <x:col min="8" max="8" width="35" hidden="0" customWidth="1"/>
    <x:col min="9" max="9" width="38" hidden="0" customWidth="1"/>
    <x:col min="10" max="10" width="14" hidden="0" customWidth="1"/>
  </x:cols>
  <x:sheetData>
    <x:row r="2" ht="28" customHeight="1">
      <x:c r="A2" s="1" t="str">
        <x:v>能源、人力与环境基准</x:v>
      </x:c>
    </x:row>
    <x:row r="3" ht="32" customHeight="1">
      <x:c r="A3" s="3" t="str">
        <x:v>北京工商业电价峰谷差达 2.8 倍（1.71 vs 0.60 元/kWh），建议在 M3 运行优化中设置「夜间低谷时段集中换电」策略，这本身就是一个可量化的降本亮点。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6" t="str">
        <x:v>参数类别</x:v>
      </x:c>
      <x:c r="B5" s="17" t="str">
        <x:v>参数项</x:v>
      </x:c>
      <x:c r="C5" s="17" t="str">
        <x:v>数值 / 区间</x:v>
      </x:c>
      <x:c r="D5" s="17" t="str">
        <x:v>单位</x:v>
      </x:c>
      <x:c r="E5" s="17" t="str">
        <x:v>推荐取值</x:v>
      </x:c>
      <x:c r="F5" s="17" t="str">
        <x:v>来源</x:v>
      </x:c>
      <x:c r="G5" s="17" t="str">
        <x:v>等级</x:v>
      </x:c>
      <x:c r="H5" s="17" t="str">
        <x:v>模型用途</x:v>
      </x:c>
      <x:c r="I5" s="17" t="str">
        <x:v>备注</x:v>
      </x:c>
      <x:c r="J5" s="18" t="str">
        <x:v>来源ID</x:v>
      </x:c>
    </x:row>
    <x:row r="6">
      <x:c r="A6" s="12" t="str">
        <x:v>电价</x:v>
      </x:c>
      <x:c r="B6" s="12" t="str">
        <x:v>非分时电度电价（单一制 1–10 kV）</x:v>
      </x:c>
      <x:c r="C6" s="12" t="str">
        <x:v>1.0201</x:v>
      </x:c>
      <x:c r="D6" s="12" t="str">
        <x:v>元/kWh</x:v>
      </x:c>
      <x:c r="E6" s="12" t="str">
        <x:v>1.02</x:v>
      </x:c>
      <x:c r="F6" s="12" t="str">
        <x:v>国网北京代理购电价表 2025-12</x:v>
      </x:c>
      <x:c r="G6" s="12" t="str">
        <x:v>A</x:v>
      </x:c>
      <x:c r="H6" s="12" t="str">
        <x:v>M4 电费核算</x:v>
      </x:c>
      <x:c r="I6" s="12" t="str">
        <x:v>不满 1 kV 参照 1–10 kV 执行</x:v>
      </x:c>
      <x:c r="J6" s="12" t="str">
        <x:v>SRC-E050</x:v>
      </x:c>
    </x:row>
    <x:row r="7">
      <x:c r="A7" s="12" t="str">
        <x:v>电价</x:v>
      </x:c>
      <x:c r="B7" s="12" t="str">
        <x:v>尖峰时段</x:v>
      </x:c>
      <x:c r="C7" s="12" t="str">
        <x:v>1.7113</x:v>
      </x:c>
      <x:c r="D7" s="12" t="str">
        <x:v>元/kWh</x:v>
      </x:c>
      <x:c r="E7" s="12" t="str">
        <x:v>1.71</x:v>
      </x:c>
      <x:c r="F7" s="12" t="str">
        <x:v>国网北京 2025-12</x:v>
      </x:c>
      <x:c r="G7" s="12" t="str">
        <x:v>A</x:v>
      </x:c>
      <x:c r="H7" s="12" t="str">
        <x:v>峰谷调度优化</x:v>
      </x:c>
      <x:c r="I7" s="12" t="str">
        <x:v>夏季 7–8 月 11-13、16-17 时</x:v>
      </x:c>
      <x:c r="J7" s="12" t="str">
        <x:v>SRC-E051</x:v>
      </x:c>
    </x:row>
    <x:row r="8">
      <x:c r="A8" s="12" t="str">
        <x:v>电价</x:v>
      </x:c>
      <x:c r="B8" s="12" t="str">
        <x:v>高峰时段</x:v>
      </x:c>
      <x:c r="C8" s="12" t="str">
        <x:v>1.4968</x:v>
      </x:c>
      <x:c r="D8" s="12" t="str">
        <x:v>元/kWh</x:v>
      </x:c>
      <x:c r="E8" s="12" t="str">
        <x:v>1.50</x:v>
      </x:c>
      <x:c r="F8" s="12" t="str">
        <x:v>国网北京 2025-12</x:v>
      </x:c>
      <x:c r="G8" s="12" t="str">
        <x:v>A</x:v>
      </x:c>
      <x:c r="H8" s="12" t="str">
        <x:v>峰谷调度优化</x:v>
      </x:c>
      <x:c r="I8" s="12" t="str">
        <x:v>10–13 时、17–22 时</x:v>
      </x:c>
      <x:c r="J8" s="12" t="str">
        <x:v>SRC-E051</x:v>
      </x:c>
    </x:row>
    <x:row r="9">
      <x:c r="A9" s="12" t="str">
        <x:v>电价</x:v>
      </x:c>
      <x:c r="B9" s="12" t="str">
        <x:v>平时段</x:v>
      </x:c>
      <x:c r="C9" s="12" t="str">
        <x:v>1.0201</x:v>
      </x:c>
      <x:c r="D9" s="12" t="str">
        <x:v>元/kWh</x:v>
      </x:c>
      <x:c r="E9" s="12" t="str">
        <x:v>1.02</x:v>
      </x:c>
      <x:c r="F9" s="12" t="str">
        <x:v>国网北京 2025-12</x:v>
      </x:c>
      <x:c r="G9" s="12" t="str">
        <x:v>A</x:v>
      </x:c>
      <x:c r="H9" s="12" t="str">
        <x:v>峰谷调度优化</x:v>
      </x:c>
      <x:c r="I9" s="12" t="str">
        <x:v>7–10、13–17、22–23 时</x:v>
      </x:c>
      <x:c r="J9" s="12" t="str">
        <x:v>SRC-E051</x:v>
      </x:c>
    </x:row>
    <x:row r="10">
      <x:c r="A10" s="12" t="str">
        <x:v>电价</x:v>
      </x:c>
      <x:c r="B10" s="12" t="str">
        <x:v>低谷时段</x:v>
      </x:c>
      <x:c r="C10" s="12" t="str">
        <x:v>0.6030</x:v>
      </x:c>
      <x:c r="D10" s="12" t="str">
        <x:v>元/kWh</x:v>
      </x:c>
      <x:c r="E10" s="12" t="str">
        <x:v>0.60</x:v>
      </x:c>
      <x:c r="F10" s="12" t="str">
        <x:v>国网北京 2025-12</x:v>
      </x:c>
      <x:c r="G10" s="12" t="str">
        <x:v>A</x:v>
      </x:c>
      <x:c r="H10" s="12" t="str">
        <x:v>夜间换电策略</x:v>
      </x:c>
      <x:c r="I10" s="12" t="str">
        <x:v>23 时–次日 7 时，换电应安排在此</x:v>
      </x:c>
      <x:c r="J10" s="12" t="str">
        <x:v>SRC-E051</x:v>
      </x:c>
    </x:row>
    <x:row r="11">
      <x:c r="A11" s="12" t="str">
        <x:v>电价</x:v>
      </x:c>
      <x:c r="B11" s="12" t="str">
        <x:v>2025-11 不满 1 kV 非分时</x:v>
      </x:c>
      <x:c r="C11" s="12" t="str">
        <x:v>0.8491</x:v>
      </x:c>
      <x:c r="D11" s="12" t="str">
        <x:v>元/kWh</x:v>
      </x:c>
      <x:c r="E11" s="12" t="str">
        <x:v>—</x:v>
      </x:c>
      <x:c r="F11" s="12" t="str">
        <x:v>国网北京 2025-11</x:v>
      </x:c>
      <x:c r="G11" s="12" t="str">
        <x:v>A</x:v>
      </x:c>
      <x:c r="H11" s="12" t="str">
        <x:v>月度波动参照</x:v>
      </x:c>
      <x:c r="I11" s="12" t="str">
        <x:v>低谷 0.5946</x:v>
      </x:c>
      <x:c r="J11" s="12" t="str">
        <x:v>SRC-E052</x:v>
      </x:c>
    </x:row>
    <x:row r="12">
      <x:c r="A12" s="12" t="str">
        <x:v>电价</x:v>
      </x:c>
      <x:c r="B12" s="12" t="str">
        <x:v>2025-09 1–10 kV 非分时</x:v>
      </x:c>
      <x:c r="C12" s="12" t="str">
        <x:v>0.8291</x:v>
      </x:c>
      <x:c r="D12" s="12" t="str">
        <x:v>元/kWh</x:v>
      </x:c>
      <x:c r="E12" s="12" t="str">
        <x:v>—</x:v>
      </x:c>
      <x:c r="F12" s="12" t="str">
        <x:v>国网北京 2025-09</x:v>
      </x:c>
      <x:c r="G12" s="12" t="str">
        <x:v>A</x:v>
      </x:c>
      <x:c r="H12" s="12" t="str">
        <x:v>月度波动参照</x:v>
      </x:c>
      <x:c r="I12" s="12"/>
      <x:c r="J12" s="12" t="str">
        <x:v>SRC-E053</x:v>
      </x:c>
    </x:row>
    <x:row r="13">
      <x:c r="A13" s="12" t="str">
        <x:v>碳排</x:v>
      </x:c>
      <x:c r="B13" s="12" t="str">
        <x:v>全国电力平均碳足迹因子</x:v>
      </x:c>
      <x:c r="C13" s="12" t="str">
        <x:v>0.6205</x:v>
      </x:c>
      <x:c r="D13" s="12" t="str">
        <x:v>kgCO2e/kWh</x:v>
      </x:c>
      <x:c r="E13" s="12" t="str">
        <x:v>0.6205</x:v>
      </x:c>
      <x:c r="F13" s="12" t="str">
        <x:v>生态环境部+统计局+能源局 2025-01 发布</x:v>
      </x:c>
      <x:c r="G13" s="12" t="str">
        <x:v>A</x:v>
      </x:c>
      <x:c r="H13" s="12" t="str">
        <x:v>M4 全生命周期碳排</x:v>
      </x:c>
      <x:c r="I13" s="12" t="str">
        <x:v>官方权威值，覆盖燃料获取至输送全链</x:v>
      </x:c>
      <x:c r="J13" s="12" t="str">
        <x:v>SRC-E054</x:v>
      </x:c>
    </x:row>
    <x:row r="14">
      <x:c r="A14" s="12" t="str">
        <x:v>碳排</x:v>
      </x:c>
      <x:c r="B14" s="12" t="str">
        <x:v>全国单位发电量 CO2 排放（2025）</x:v>
      </x:c>
      <x:c r="C14" s="12" t="str">
        <x:v>514</x:v>
      </x:c>
      <x:c r="D14" s="12" t="str">
        <x:v>g/kWh</x:v>
      </x:c>
      <x:c r="E14" s="12" t="str">
        <x:v>0.514</x:v>
      </x:c>
      <x:c r="F14" s="12" t="str">
        <x:v>中电联《中国电力行业年度发展报告 2026》</x:v>
      </x:c>
      <x:c r="G14" s="12" t="str">
        <x:v>A</x:v>
      </x:c>
      <x:c r="H14" s="12" t="str">
        <x:v>M4 运营阶段碳排</x:v>
      </x:c>
      <x:c r="I14" s="12" t="str">
        <x:v>同比下降 2.6%，较 2005 年降 40.1%</x:v>
      </x:c>
      <x:c r="J14" s="12" t="str">
        <x:v>SRC-E055</x:v>
      </x:c>
    </x:row>
    <x:row r="15">
      <x:c r="A15" s="12" t="str">
        <x:v>碳排</x:v>
      </x:c>
      <x:c r="B15" s="12" t="str">
        <x:v>单位火电发电量 CO2 排放</x:v>
      </x:c>
      <x:c r="C15" s="12" t="str">
        <x:v>823</x:v>
      </x:c>
      <x:c r="D15" s="12" t="str">
        <x:v>g/kWh</x:v>
      </x:c>
      <x:c r="E15" s="12" t="str">
        <x:v>—</x:v>
      </x:c>
      <x:c r="F15" s="12" t="str">
        <x:v>中电联 2026 报告</x:v>
      </x:c>
      <x:c r="G15" s="12" t="str">
        <x:v>A</x:v>
      </x:c>
      <x:c r="H15" s="12" t="str">
        <x:v>火电占比敏感性</x:v>
      </x:c>
      <x:c r="I15" s="12"/>
      <x:c r="J15" s="12" t="str">
        <x:v>SRC-E056</x:v>
      </x:c>
    </x:row>
    <x:row r="16">
      <x:c r="A16" s="12" t="str">
        <x:v>碳排</x:v>
      </x:c>
      <x:c r="B16" s="12" t="str">
        <x:v>全国碳市场均价（2025）</x:v>
      </x:c>
      <x:c r="C16" s="12" t="str">
        <x:v>62.36</x:v>
      </x:c>
      <x:c r="D16" s="12" t="str">
        <x:v>元/吨</x:v>
      </x:c>
      <x:c r="E16" s="12" t="str">
        <x:v>62.36</x:v>
      </x:c>
      <x:c r="F16" s="12" t="str">
        <x:v>中电联 2026 报告</x:v>
      </x:c>
      <x:c r="G16" s="12" t="str">
        <x:v>A</x:v>
      </x:c>
      <x:c r="H16" s="12" t="str">
        <x:v>碳收益 monetize</x:v>
      </x:c>
      <x:c r="I16" s="12" t="str">
        <x:v>全年成交 2.35 亿吨</x:v>
      </x:c>
      <x:c r="J16" s="12" t="str">
        <x:v>SRC-E056</x:v>
      </x:c>
    </x:row>
    <x:row r="17">
      <x:c r="A17" s="12" t="str">
        <x:v>碳排</x:v>
      </x:c>
      <x:c r="B17" s="12" t="str">
        <x:v>电网线损率（2025）</x:v>
      </x:c>
      <x:c r="C17" s="12" t="str">
        <x:v>4.23%</x:v>
      </x:c>
      <x:c r="D17" s="12" t="str">
        <x:v>—</x:v>
      </x:c>
      <x:c r="E17" s="12" t="str">
        <x:v>4.23%</x:v>
      </x:c>
      <x:c r="F17" s="12" t="str">
        <x:v>中电联 2026 报告</x:v>
      </x:c>
      <x:c r="G17" s="12" t="str">
        <x:v>A</x:v>
      </x:c>
      <x:c r="H17" s="12" t="str">
        <x:v>精细核算可选</x:v>
      </x:c>
      <x:c r="I17" s="12"/>
      <x:c r="J17" s="12" t="str">
        <x:v>SRC-E056</x:v>
      </x:c>
    </x:row>
    <x:row r="18">
      <x:c r="A18" s="12" t="str">
        <x:v>人力基线</x:v>
      </x:c>
      <x:c r="B18" s="12" t="str">
        <x:v>北京快递员平均月薪</x:v>
      </x:c>
      <x:c r="C18" s="12" t="str">
        <x:v>11000–12000</x:v>
      </x:c>
      <x:c r="D18" s="12" t="str">
        <x:v>元/月</x:v>
      </x:c>
      <x:c r="E18" s="12" t="str">
        <x:v>11500</x:v>
      </x:c>
      <x:c r="F18" s="12" t="str">
        <x:v>爱企查 2025 招聘数据统计</x:v>
      </x:c>
      <x:c r="G18" s="12" t="str">
        <x:v>D</x:v>
      </x:c>
      <x:c r="H18" s="12" t="str">
        <x:v>M4/M5 人力成本降低基线</x:v>
      </x:c>
      <x:c r="I18" s="12" t="str">
        <x:v>京东 11500、顺丰 12400</x:v>
      </x:c>
      <x:c r="J18" s="12" t="str">
        <x:v>SRC-E057</x:v>
      </x:c>
    </x:row>
    <x:row r="19">
      <x:c r="A19" s="12" t="str">
        <x:v>人力基线</x:v>
      </x:c>
      <x:c r="B19" s="12" t="str">
        <x:v>行业平均月薪（北京）</x:v>
      </x:c>
      <x:c r="C19" s="12" t="str">
        <x:v>9000</x:v>
      </x:c>
      <x:c r="D19" s="12" t="str">
        <x:v>元/月</x:v>
      </x:c>
      <x:c r="E19" s="12" t="str">
        <x:v>—</x:v>
      </x:c>
      <x:c r="F19" s="12" t="str">
        <x:v>爱企查</x:v>
      </x:c>
      <x:c r="G19" s="12" t="str">
        <x:v>D</x:v>
      </x:c>
      <x:c r="H19" s="12" t="str">
        <x:v>下界参照</x:v>
      </x:c>
      <x:c r="I19" s="12" t="str">
        <x:v>同城快递员 9500</x:v>
      </x:c>
      <x:c r="J19" s="12" t="str">
        <x:v>SRC-E058</x:v>
      </x:c>
    </x:row>
    <x:row r="20">
      <x:c r="A20" s="12" t="str">
        <x:v>人力基线</x:v>
      </x:c>
      <x:c r="B20" s="12" t="str">
        <x:v>月薪分布区间</x:v>
      </x:c>
      <x:c r="C20" s="12" t="str">
        <x:v>8000–15000（约 90% 岗位）</x:v>
      </x:c>
      <x:c r="D20" s="12" t="str">
        <x:v>元/月</x:v>
      </x:c>
      <x:c r="E20" s="12" t="str">
        <x:v>—</x:v>
      </x:c>
      <x:c r="F20" s="12" t="str">
        <x:v>爱企查</x:v>
      </x:c>
      <x:c r="G20" s="12" t="str">
        <x:v>D</x:v>
      </x:c>
      <x:c r="H20" s="12" t="str">
        <x:v>敏感性区间</x:v>
      </x:c>
      <x:c r="I20" s="12"/>
      <x:c r="J20" s="12" t="str">
        <x:v>SRC-E058</x:v>
      </x:c>
    </x:row>
    <x:row r="21">
      <x:c r="A21" s="12" t="str">
        <x:v>人力基线</x:v>
      </x:c>
      <x:c r="B21" s="12" t="str">
        <x:v>综合人力成本（含社保公积金）</x:v>
      </x:c>
      <x:c r="C21" s="12" t="str">
        <x:v>约 1.3 倍月薪</x:v>
      </x:c>
      <x:c r="D21" s="12" t="str">
        <x:v>—</x:v>
      </x:c>
      <x:c r="E21" s="12" t="str">
        <x:v>150000 元/人·年</x:v>
      </x:c>
      <x:c r="F21" s="12" t="str">
        <x:v>按通行社保比例推算</x:v>
      </x:c>
      <x:c r="G21" s="12" t="str">
        <x:v>E</x:v>
      </x:c>
      <x:c r="H21" s="12" t="str">
        <x:v>M4 基线口径统一</x:v>
      </x:c>
      <x:c r="I21" s="12" t="str">
        <x:v>E 级，需声明</x:v>
      </x:c>
      <x:c r="J21" s="12" t="str">
        <x:v>SRC-E059</x:v>
      </x:c>
    </x:row>
    <x:row r="22">
      <x:c r="A22" s="12" t="str">
        <x:v>人力基线</x:v>
      </x:c>
      <x:c r="B22" s="12" t="str">
        <x:v>北京快递员规模</x:v>
      </x:c>
      <x:c r="C22" s="12" t="str">
        <x:v>6–7.5</x:v>
      </x:c>
      <x:c r="D22" s="12" t="str">
        <x:v>万人</x:v>
      </x:c>
      <x:c r="E22" s="12" t="str">
        <x:v>6.8 万</x:v>
      </x:c>
      <x:c r="F22" s="12" t="str">
        <x:v>今日头条行业统计</x:v>
      </x:c>
      <x:c r="G22" s="12" t="str">
        <x:v>D</x:v>
      </x:c>
      <x:c r="H22" s="12" t="str">
        <x:v>M1 需求侧参照</x:v>
      </x:c>
      <x:c r="I22" s="12"/>
      <x:c r="J22" s="12" t="str">
        <x:v>SRC-E060</x:v>
      </x:c>
    </x:row>
    <x:row r="23">
      <x:c r="A23" s="12" t="str">
        <x:v>人力基线</x:v>
      </x:c>
      <x:c r="B23" s="12" t="str">
        <x:v>北京日均快递处理量</x:v>
      </x:c>
      <x:c r="C23" s="12" t="str">
        <x:v>450</x:v>
      </x:c>
      <x:c r="D23" s="12" t="str">
        <x:v>万件/日</x:v>
      </x:c>
      <x:c r="E23" s="12" t="str">
        <x:v>450 万</x:v>
      </x:c>
      <x:c r="F23" s="12" t="str">
        <x:v>今日头条行业统计</x:v>
      </x:c>
      <x:c r="G23" s="12" t="str">
        <x:v>D</x:v>
      </x:c>
      <x:c r="H23" s="12" t="str">
        <x:v>M1 需求测算基数</x:v>
      </x:c>
      <x:c r="I23" s="12" t="str">
        <x:v>2025 上半年业务量 13.88 亿件，同比 +6.36%</x:v>
      </x:c>
      <x:c r="J23" s="12" t="str">
        <x:v>SRC-E060</x:v>
      </x:c>
    </x:row>
    <x:row r="24">
      <x:c r="A24" s="12" t="str">
        <x:v>人力基线</x:v>
      </x:c>
      <x:c r="B24" s="12" t="str">
        <x:v>派件提成（顺丰同城）</x:v>
      </x:c>
      <x:c r="C24" s="12" t="str">
        <x:v>2.1 起</x:v>
      </x:c>
      <x:c r="D24" s="12" t="str">
        <x:v>元/票</x:v>
      </x:c>
      <x:c r="E24" s="12" t="str">
        <x:v>—</x:v>
      </x:c>
      <x:c r="F24" s="12" t="str">
        <x:v>今日头条</x:v>
      </x:c>
      <x:c r="G24" s="12" t="str">
        <x:v>D</x:v>
      </x:c>
      <x:c r="H24" s="12" t="str">
        <x:v>单票人工成本校验</x:v>
      </x:c>
      <x:c r="I24" s="12" t="str">
        <x:v>收件 2.5 元 + 运费 4.5%</x:v>
      </x:c>
      <x:c r="J24" s="12" t="str">
        <x:v>SRC-E061</x:v>
      </x:c>
    </x:row>
    <x:row r="25">
      <x:c r="A25" s="12" t="str">
        <x:v>人力基线</x:v>
      </x:c>
      <x:c r="B25" s="12" t="str">
        <x:v>派件提成（京东）</x:v>
      </x:c>
      <x:c r="C25" s="12" t="str">
        <x:v>1.2 + 0.18/kg</x:v>
      </x:c>
      <x:c r="D25" s="12" t="str">
        <x:v>元/单</x:v>
      </x:c>
      <x:c r="E25" s="12" t="str">
        <x:v>—</x:v>
      </x:c>
      <x:c r="F25" s="12" t="str">
        <x:v>行业统计</x:v>
      </x:c>
      <x:c r="G25" s="12" t="str">
        <x:v>D</x:v>
      </x:c>
      <x:c r="H25" s="12" t="str">
        <x:v>单票人工成本校验</x:v>
      </x:c>
      <x:c r="I25" s="12" t="str">
        <x:v>底薪 5000</x:v>
      </x:c>
      <x:c r="J25" s="12" t="str">
        <x:v>SRC-E062</x:v>
      </x:c>
    </x:row>
    <x:row r="26">
      <x:c r="A26" s="12" t="str">
        <x:v>人力基线</x:v>
      </x:c>
      <x:c r="B26" s="12" t="str">
        <x:v>单票人工成本（反算）</x:v>
      </x:c>
      <x:c r="C26" s="12" t="str">
        <x:v>1.1–1.5</x:v>
      </x:c>
      <x:c r="D26" s="12" t="str">
        <x:v>元/票</x:v>
      </x:c>
      <x:c r="E26" s="12" t="str">
        <x:v>1.3</x:v>
      </x:c>
      <x:c r="F26" s="12" t="str">
        <x:v>按月薪 11500 ÷ (300 票/日 × 26 日)</x:v>
      </x:c>
      <x:c r="G26" s="12" t="str">
        <x:v>E</x:v>
      </x:c>
      <x:c r="H26" s="12" t="str">
        <x:v>M4 单票成本对比</x:v>
      </x:c>
      <x:c r="I26" s="12" t="str">
        <x:v>E 级推算</x:v>
      </x:c>
      <x:c r="J26" s="12" t="str">
        <x:v>SRC-E063</x:v>
      </x:c>
    </x:row>
    <x:row r="27">
      <x:c r="A27" s="12" t="str">
        <x:v>人力基线</x:v>
      </x:c>
      <x:c r="B27" s="12" t="str">
        <x:v>对照：新能源微面 + 司机</x:v>
      </x:c>
      <x:c r="C27" s="12" t="str">
        <x:v>车价 6 万 + 薪酬 6000 元/月</x:v>
      </x:c>
      <x:c r="D27" s="12" t="str">
        <x:v>—</x:v>
      </x:c>
      <x:c r="E27" s="12" t="str">
        <x:v>—</x:v>
      </x:c>
      <x:c r="F27" s="12" t="str">
        <x:v>新浪财经研报</x:v>
      </x:c>
      <x:c r="G27" s="12" t="str">
        <x:v>C</x:v>
      </x:c>
      <x:c r="H27" s="12" t="str">
        <x:v>现状基线方案</x:v>
      </x:c>
      <x:c r="I27" s="12" t="str">
        <x:v>能耗 0.2 元/km，100 km/天</x:v>
      </x:c>
      <x:c r="J27" s="12" t="str">
        <x:v>SRC-E034</x:v>
      </x:c>
    </x:row>
    <x:row r="28">
      <x:c r="A28" s="12" t="str">
        <x:v>人力基线</x:v>
      </x:c>
      <x:c r="B28" s="12" t="str">
        <x:v>对照：无人车替代后单票成本</x:v>
      </x:c>
      <x:c r="C28" s="12" t="str">
        <x:v>0.24 → 0.12 元/票（降 51.7%）</x:v>
      </x:c>
      <x:c r="D28" s="12" t="str">
        <x:v>元/票</x:v>
      </x:c>
      <x:c r="E28" s="12" t="str">
        <x:v>—</x:v>
      </x:c>
      <x:c r="F28" s="12" t="str">
        <x:v>具身智能产业深度研究</x:v>
      </x:c>
      <x:c r="G28" s="12" t="str">
        <x:v>C</x:v>
      </x:c>
      <x:c r="H28" s="12" t="str">
        <x:v>效益目标校验</x:v>
      </x:c>
      <x:c r="I28" s="12" t="str">
        <x:v>网点—驿站场景</x:v>
      </x:c>
      <x:c r="J28" s="12" t="str">
        <x:v>SRC-E064</x:v>
      </x:c>
    </x:row>
    <x:row r="29">
      <x:c r="A29" s="12" t="str">
        <x:v>折旧</x:v>
      </x:c>
      <x:c r="B29" s="12" t="str">
        <x:v>运输工具最低折旧年限</x:v>
      </x:c>
      <x:c r="C29" s="12" t="str">
        <x:v>4</x:v>
      </x:c>
      <x:c r="D29" s="12" t="str">
        <x:v>年</x:v>
      </x:c>
      <x:c r="E29" s="12" t="str">
        <x:v>5（建议）</x:v>
      </x:c>
      <x:c r="F29" s="12" t="str">
        <x:v>《企业所得税法实施条例》第六十条</x:v>
      </x:c>
      <x:c r="G29" s="12" t="str">
        <x:v>A</x:v>
      </x:c>
      <x:c r="H29" s="12" t="str">
        <x:v>M4/M5 折旧</x:v>
      </x:c>
      <x:c r="I29" s="12" t="str">
        <x:v>飞机火车轮船以外的运输工具</x:v>
      </x:c>
      <x:c r="J29" s="12" t="str">
        <x:v>SRC-E065</x:v>
      </x:c>
    </x:row>
    <x:row r="30">
      <x:c r="A30" s="12" t="str">
        <x:v>折旧</x:v>
      </x:c>
      <x:c r="B30" s="12" t="str">
        <x:v>器具、工具、家具最低折旧年限</x:v>
      </x:c>
      <x:c r="C30" s="12" t="str">
        <x:v>5</x:v>
      </x:c>
      <x:c r="D30" s="12" t="str">
        <x:v>年</x:v>
      </x:c>
      <x:c r="E30" s="12" t="str">
        <x:v>10（智能柜建议）</x:v>
      </x:c>
      <x:c r="F30" s="12" t="str">
        <x:v>《企业所得税法实施条例》第六十条</x:v>
      </x:c>
      <x:c r="G30" s="12" t="str">
        <x:v>A</x:v>
      </x:c>
      <x:c r="H30" s="12" t="str">
        <x:v>M4/M5 折旧</x:v>
      </x:c>
      <x:c r="I30" s="12" t="str">
        <x:v>国信证券：柜体寿命可达 10 年以上</x:v>
      </x:c>
      <x:c r="J30" s="12" t="str">
        <x:v>SRC-E065</x:v>
      </x:c>
    </x:row>
    <x:row r="31">
      <x:c r="A31" s="12" t="str">
        <x:v>折旧</x:v>
      </x:c>
      <x:c r="B31" s="12" t="str">
        <x:v>电子设备最低折旧年限</x:v>
      </x:c>
      <x:c r="C31" s="12" t="str">
        <x:v>3</x:v>
      </x:c>
      <x:c r="D31" s="12" t="str">
        <x:v>年</x:v>
      </x:c>
      <x:c r="E31" s="12" t="str">
        <x:v>—</x:v>
      </x:c>
      <x:c r="F31" s="12" t="str">
        <x:v>《企业所得税法实施条例》第六十条</x:v>
      </x:c>
      <x:c r="G31" s="12" t="str">
        <x:v>A</x:v>
      </x:c>
      <x:c r="H31" s="12" t="str">
        <x:v>参照</x:v>
      </x:c>
      <x:c r="I31" s="12"/>
      <x:c r="J31" s="12" t="str">
        <x:v>SRC-E065</x:v>
      </x:c>
    </x:row>
    <x:row r="32">
      <x:c r="A32" s="12" t="str">
        <x:v>折旧</x:v>
      </x:c>
      <x:c r="B32" s="12" t="str">
        <x:v>残值率（税务口径）</x:v>
      </x:c>
      <x:c r="C32" s="12" t="str">
        <x:v>5%</x:v>
      </x:c>
      <x:c r="D32" s="12" t="str">
        <x:v>—</x:v>
      </x:c>
      <x:c r="E32" s="12" t="str">
        <x:v>5%</x:v>
      </x:c>
      <x:c r="F32" s="12" t="str">
        <x:v>税法统一规定</x:v>
      </x:c>
      <x:c r="G32" s="12" t="str">
        <x:v>A</x:v>
      </x:c>
      <x:c r="H32" s="12" t="str">
        <x:v>M4/M5 残值</x:v>
      </x:c>
      <x:c r="I32" s="12" t="str">
        <x:v>一经确定不得变更</x:v>
      </x:c>
      <x:c r="J32" s="12" t="str">
        <x:v>SRC-E066</x:v>
      </x:c>
    </x:row>
    <x:row r="33">
      <x:c r="A33" s="12" t="str">
        <x:v>折旧</x:v>
      </x:c>
      <x:c r="B33" s="12" t="str">
        <x:v>厂商整车质保</x:v>
      </x:c>
      <x:c r="C33" s="12" t="str">
        <x:v>5</x:v>
      </x:c>
      <x:c r="D33" s="12" t="str">
        <x:v>年</x:v>
      </x:c>
      <x:c r="E33" s="12" t="str">
        <x:v>5</x:v>
      </x:c>
      <x:c r="F33" s="12" t="str">
        <x:v>新石器官方</x:v>
      </x:c>
      <x:c r="G33" s="12" t="str">
        <x:v>B</x:v>
      </x:c>
      <x:c r="H33" s="12" t="str">
        <x:v>折旧年限佐证</x:v>
      </x:c>
      <x:c r="I33" s="12" t="str">
        <x:v>与建议 5 年一致</x:v>
      </x:c>
      <x:c r="J33" s="12" t="str">
        <x:v>SRC-E067</x:v>
      </x:c>
    </x:row>
    <x:row r="34">
      <x:c r="A34" s="12" t="str">
        <x:v>折现率</x:v>
      </x:c>
      <x:c r="B34" s="12" t="str">
        <x:v>建议折现率</x:v>
      </x:c>
      <x:c r="C34" s="12" t="str">
        <x:v>6%–8%</x:v>
      </x:c>
      <x:c r="D34" s="12" t="str">
        <x:v>—</x:v>
      </x:c>
      <x:c r="E34" s="12" t="str">
        <x:v>7%</x:v>
      </x:c>
      <x:c r="F34" s="12" t="str">
        <x:v>通行工程经济取值</x:v>
      </x:c>
      <x:c r="G34" s="12" t="str">
        <x:v>E</x:v>
      </x:c>
      <x:c r="H34" s="12" t="str">
        <x:v>M5 NPV/回收期</x:v>
      </x:c>
      <x:c r="I34" s="12" t="str">
        <x:v>E 级，需声明</x:v>
      </x:c>
      <x:c r="J34" s="12" t="str">
        <x:v>SRC-E068</x:v>
      </x:c>
    </x:row>
  </x:sheetData>
  <x:pageMargins left="0.7" right="0.7" top="0.75" bottom="0.75" header="0.3" footer="0.3"/>
  <x:tableParts count="1">
    <x:tablePart xmlns:r="http://schemas.openxmlformats.org/officeDocument/2006/relationships" r:id="R9cc2de89c170498f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0" hidden="0" customWidth="1"/>
    <x:col min="4" max="4" width="11" hidden="0" customWidth="1"/>
    <x:col min="5" max="5" width="14" hidden="0" customWidth="1"/>
    <x:col min="6" max="6" width="58" hidden="0" customWidth="1"/>
    <x:col min="7" max="7" width="42" hidden="0" customWidth="1"/>
    <x:col min="8" max="8" width="24" hidden="0" customWidth="1"/>
    <x:col min="9" max="9" width="14" hidden="0" customWidth="1"/>
    <x:col min="10" max="10" width="13" hidden="0" customWidth="1"/>
  </x:cols>
  <x:sheetData>
    <x:row r="2" ht="28" customHeight="1">
      <x:c r="A2" s="1" t="str">
        <x:v>设备参数来源目录</x:v>
      </x:c>
    </x:row>
    <x:row r="3" ht="32" customHeight="1">
      <x:c r="A3" s="3" t="str">
        <x:v>来源等级：A政府/官方；B企业官方或采购公告；C研究报告；D行业媒体；E推算/假设。缺精确链接的项目已明确标记。 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6" t="str">
        <x:v>来源ID</x:v>
      </x:c>
      <x:c r="B5" s="17" t="str">
        <x:v>来源名称/原表文字</x:v>
      </x:c>
      <x:c r="C5" s="17" t="str">
        <x:v>机构</x:v>
      </x:c>
      <x:c r="D5" s="17" t="str">
        <x:v>等级</x:v>
      </x:c>
      <x:c r="E5" s="17" t="str">
        <x:v>发布日期</x:v>
      </x:c>
      <x:c r="F5" s="17" t="str">
        <x:v>URL</x:v>
      </x:c>
      <x:c r="G5" s="17" t="str">
        <x:v>质量说明</x:v>
      </x:c>
      <x:c r="H5" s="17" t="str">
        <x:v>采集载体</x:v>
      </x:c>
      <x:c r="I5" s="17" t="str">
        <x:v>核验日期</x:v>
      </x:c>
      <x:c r="J5" s="18" t="str">
        <x:v>核验状态</x:v>
      </x:c>
    </x:row>
    <x:row r="6">
      <x:c r="A6" s="12" t="str">
        <x:v>SRC-E-POLICY</x:v>
      </x:c>
      <x:c r="B6" s="12" t="str">
        <x:v>北京市无人配送车道路测试与商业示范管理办法（试行）</x:v>
      </x:c>
      <x:c r="C6" s="12" t="str">
        <x:v>北京市交通委员会等5部门</x:v>
      </x:c>
      <x:c r="D6" s="12" t="str">
        <x:v>A</x:v>
      </x:c>
      <x:c r="E6" s="12" t="str">
        <x:v>2023-01-31</x:v>
      </x:c>
      <x:c r="F6" s="12" t="str">
        <x:v>https://www.beijing.gov.cn/zhengce/zhengcefagui/202306/t20230608_3126678.html</x:v>
      </x:c>
      <x:c r="G6" s="12" t="str">
        <x:v>已核验</x:v>
      </x:c>
      <x:c r="H6" s="12" t="str">
        <x:v>设备参数原工作簿</x:v>
      </x:c>
      <x:c r="I6" s="12" t="str">
        <x:v>2026-09-14</x:v>
      </x:c>
      <x:c r="J6" s="12" t="str">
        <x:v>是</x:v>
      </x:c>
    </x:row>
    <x:row r="7">
      <x:c r="A7" s="12" t="str">
        <x:v>SRC-E-PRODUCT</x:v>
      </x:c>
      <x:c r="B7" s="12" t="str">
        <x:v>北京市无人配送车产品要求（试行）</x:v>
      </x:c>
      <x:c r="C7" s="12" t="str">
        <x:v>北京市经济和信息化局/交通委附件</x:v>
      </x:c>
      <x:c r="D7" s="12" t="str">
        <x:v>A</x:v>
      </x:c>
      <x:c r="E7" s="12" t="str">
        <x:v>2023</x:v>
      </x:c>
      <x:c r="F7" s="12" t="str">
        <x:v>https://jtw.beijing.gov.cn/xxgk/2024zcwj/gfxwj/202406/W020240606610727481782.pdf</x:v>
      </x:c>
      <x:c r="G7" s="12" t="str">
        <x:v>已核验</x:v>
      </x:c>
      <x:c r="H7" s="12" t="str">
        <x:v>设备参数原工作簿</x:v>
      </x:c>
      <x:c r="I7" s="12" t="str">
        <x:v>2026-09-14</x:v>
      </x:c>
      <x:c r="J7" s="12" t="str">
        <x:v>是</x:v>
      </x:c>
    </x:row>
    <x:row r="8">
      <x:c r="A8" s="12" t="str">
        <x:v>SRC-E001</x:v>
      </x:c>
      <x:c r="B8" s="12" t="str">
        <x:v>组委会数据/厂商官网</x:v>
      </x:c>
      <x:c r="C8" s="12" t="str">
        <x:v>组委会/厂商（按原表标注）</x:v>
      </x:c>
      <x:c r="D8" s="12" t="str">
        <x:v>B</x:v>
      </x:c>
      <x:c r="E8" s="12" t="str">
        <x:v>未记录</x:v>
      </x:c>
      <x:c r="F8" s="12" t="str"/>
      <x:c r="G8" s="12" t="str">
        <x:v>需拆分到具体来源</x:v>
      </x:c>
      <x:c r="H8" s="12" t="str">
        <x:v>设备参数原工作簿</x:v>
      </x:c>
      <x:c r="I8" s="12" t="str">
        <x:v>2026-09-14</x:v>
      </x:c>
      <x:c r="J8" s="12" t="str">
        <x:v>待核</x:v>
      </x:c>
    </x:row>
    <x:row r="9">
      <x:c r="A9" s="12" t="str">
        <x:v>SRC-E002</x:v>
      </x:c>
      <x:c r="B9" s="12" t="str">
        <x:v>厂商官网</x:v>
      </x:c>
      <x:c r="C9" s="12" t="str">
        <x:v>相关厂商</x:v>
      </x:c>
      <x:c r="D9" s="12" t="str">
        <x:v>B</x:v>
      </x:c>
      <x:c r="E9" s="12" t="str">
        <x:v>未记录</x:v>
      </x:c>
      <x:c r="F9" s="12" t="str"/>
      <x:c r="G9" s="12" t="str">
        <x:v>待补精确型号页和采集日期</x:v>
      </x:c>
      <x:c r="H9" s="12" t="str">
        <x:v>设备参数原工作簿</x:v>
      </x:c>
      <x:c r="I9" s="12" t="str">
        <x:v>2026-09-14</x:v>
      </x:c>
      <x:c r="J9" s="12" t="str">
        <x:v>待核</x:v>
      </x:c>
    </x:row>
    <x:row r="10">
      <x:c r="A10" s="12" t="str">
        <x:v>SRC-E003</x:v>
      </x:c>
      <x:c r="B10" s="12" t="str">
        <x:v>组委会数据</x:v>
      </x:c>
      <x:c r="C10" s="12" t="str">
        <x:v>大赛组委会（按原表标注）</x:v>
      </x:c>
      <x:c r="D10" s="12" t="str">
        <x:v>B</x:v>
      </x:c>
      <x:c r="E10" s="12" t="str">
        <x:v>未记录</x:v>
      </x:c>
      <x:c r="F10" s="12" t="str"/>
      <x:c r="G10" s="12" t="str">
        <x:v>需确认是否确由组委会提供并保存原件</x:v>
      </x:c>
      <x:c r="H10" s="12" t="str">
        <x:v>设备参数原工作簿</x:v>
      </x:c>
      <x:c r="I10" s="12" t="str">
        <x:v>2026-09-14</x:v>
      </x:c>
      <x:c r="J10" s="12" t="str">
        <x:v>待核</x:v>
      </x:c>
    </x:row>
    <x:row r="11">
      <x:c r="A11" s="12" t="str">
        <x:v>SRC-E004</x:v>
      </x:c>
      <x:c r="B11" s="12" t="str">
        <x:v>组委会数据/北京商报</x:v>
      </x:c>
      <x:c r="C11" s="12" t="str">
        <x:v>组委会数据/北京商报</x:v>
      </x:c>
      <x:c r="D11" s="12" t="str">
        <x:v>待核</x:v>
      </x:c>
      <x:c r="E11" s="12" t="str">
        <x:v>未记录</x:v>
      </x:c>
      <x:c r="F11" s="12" t="str"/>
      <x:c r="G11" s="12" t="str">
        <x:v>沿用原工作簿来源文字；精确URL/日期待补</x:v>
      </x:c>
      <x:c r="H11" s="12" t="str">
        <x:v>设备参数原工作簿</x:v>
      </x:c>
      <x:c r="I11" s="12" t="str">
        <x:v>2026-09-14</x:v>
      </x:c>
      <x:c r="J11" s="12" t="str">
        <x:v>待核</x:v>
      </x:c>
    </x:row>
    <x:row r="12">
      <x:c r="A12" s="12" t="str">
        <x:v>SRC-E005</x:v>
      </x:c>
      <x:c r="B12" s="12" t="str">
        <x:v>北京商报</x:v>
      </x:c>
      <x:c r="C12" s="12" t="str">
        <x:v>北京商报</x:v>
      </x:c>
      <x:c r="D12" s="12" t="str">
        <x:v>待核</x:v>
      </x:c>
      <x:c r="E12" s="12" t="str">
        <x:v>未记录</x:v>
      </x:c>
      <x:c r="F12" s="12" t="str"/>
      <x:c r="G12" s="12" t="str">
        <x:v>沿用原工作簿来源文字；精确URL/日期待补</x:v>
      </x:c>
      <x:c r="H12" s="12" t="str">
        <x:v>设备参数原工作簿</x:v>
      </x:c>
      <x:c r="I12" s="12" t="str">
        <x:v>2026-09-14</x:v>
      </x:c>
      <x:c r="J12" s="12" t="str">
        <x:v>待核</x:v>
      </x:c>
    </x:row>
    <x:row r="13">
      <x:c r="A13" s="12" t="str">
        <x:v>SRC-E006</x:v>
      </x:c>
      <x:c r="B13" s="12" t="str">
        <x:v>北京市产品要求 5.1.3</x:v>
      </x:c>
      <x:c r="C13" s="12" t="str">
        <x:v>北京市产品要求 5.1.3</x:v>
      </x:c>
      <x:c r="D13" s="12" t="str">
        <x:v>待核</x:v>
      </x:c>
      <x:c r="E13" s="12" t="str">
        <x:v>未记录</x:v>
      </x:c>
      <x:c r="F13" s="12" t="str"/>
      <x:c r="G13" s="12" t="str">
        <x:v>沿用原工作簿来源文字；精确URL/日期待补</x:v>
      </x:c>
      <x:c r="H13" s="12" t="str">
        <x:v>设备参数原工作簿</x:v>
      </x:c>
      <x:c r="I13" s="12" t="str">
        <x:v>2026-09-14</x:v>
      </x:c>
      <x:c r="J13" s="12" t="str">
        <x:v>待核</x:v>
      </x:c>
    </x:row>
    <x:row r="14">
      <x:c r="A14" s="12" t="str">
        <x:v>SRC-E007</x:v>
      </x:c>
      <x:c r="B14" s="12" t="str">
        <x:v>新浪财经《2026 自动驾驶元年八大展望》</x:v>
      </x:c>
      <x:c r="C14" s="12" t="str">
        <x:v>新浪财经《2026 自动驾驶元年八大展望》</x:v>
      </x:c>
      <x:c r="D14" s="12" t="str">
        <x:v>待核</x:v>
      </x:c>
      <x:c r="E14" s="12" t="str">
        <x:v>未记录</x:v>
      </x:c>
      <x:c r="F14" s="12" t="str"/>
      <x:c r="G14" s="12" t="str">
        <x:v>沿用原工作簿来源文字；精确URL/日期待补</x:v>
      </x:c>
      <x:c r="H14" s="12" t="str">
        <x:v>设备参数原工作簿</x:v>
      </x:c>
      <x:c r="I14" s="12" t="str">
        <x:v>2026-09-14</x:v>
      </x:c>
      <x:c r="J14" s="12" t="str">
        <x:v>待核</x:v>
      </x:c>
    </x:row>
    <x:row r="15">
      <x:c r="A15" s="12" t="str">
        <x:v>SRC-E008</x:v>
      </x:c>
      <x:c r="B15" s="12" t="str">
        <x:v>卡车之家</x:v>
      </x:c>
      <x:c r="C15" s="12" t="str">
        <x:v>卡车之家</x:v>
      </x:c>
      <x:c r="D15" s="12" t="str">
        <x:v>待核</x:v>
      </x:c>
      <x:c r="E15" s="12" t="str">
        <x:v>未记录</x:v>
      </x:c>
      <x:c r="F15" s="12" t="str"/>
      <x:c r="G15" s="12" t="str">
        <x:v>沿用原工作簿来源文字；精确URL/日期待补</x:v>
      </x:c>
      <x:c r="H15" s="12" t="str">
        <x:v>设备参数原工作簿</x:v>
      </x:c>
      <x:c r="I15" s="12" t="str">
        <x:v>2026-09-14</x:v>
      </x:c>
      <x:c r="J15" s="12" t="str">
        <x:v>待核</x:v>
      </x:c>
    </x:row>
    <x:row r="16">
      <x:c r="A16" s="12" t="str">
        <x:v>SRC-E009</x:v>
      </x:c>
      <x:c r="B16" s="12" t="str">
        <x:v>新战略低速无人车</x:v>
      </x:c>
      <x:c r="C16" s="12" t="str">
        <x:v>新战略低速无人车</x:v>
      </x:c>
      <x:c r="D16" s="12" t="str">
        <x:v>待核</x:v>
      </x:c>
      <x:c r="E16" s="12" t="str">
        <x:v>未记录</x:v>
      </x:c>
      <x:c r="F16" s="12" t="str"/>
      <x:c r="G16" s="12" t="str">
        <x:v>沿用原工作簿来源文字；精确URL/日期待补</x:v>
      </x:c>
      <x:c r="H16" s="12" t="str">
        <x:v>设备参数原工作簿</x:v>
      </x:c>
      <x:c r="I16" s="12" t="str">
        <x:v>2026-09-14</x:v>
      </x:c>
      <x:c r="J16" s="12" t="str">
        <x:v>待核</x:v>
      </x:c>
    </x:row>
    <x:row r="17">
      <x:c r="A17" s="12" t="str">
        <x:v>SRC-E010</x:v>
      </x:c>
      <x:c r="B17" s="12" t="str">
        <x:v>华泰证券研报</x:v>
      </x:c>
      <x:c r="C17" s="12" t="str">
        <x:v>华泰证券研报</x:v>
      </x:c>
      <x:c r="D17" s="12" t="str">
        <x:v>待核</x:v>
      </x:c>
      <x:c r="E17" s="12" t="str">
        <x:v>未记录</x:v>
      </x:c>
      <x:c r="F17" s="12" t="str"/>
      <x:c r="G17" s="12" t="str">
        <x:v>沿用原工作簿来源文字；精确URL/日期待补</x:v>
      </x:c>
      <x:c r="H17" s="12" t="str">
        <x:v>设备参数原工作簿</x:v>
      </x:c>
      <x:c r="I17" s="12" t="str">
        <x:v>2026-09-14</x:v>
      </x:c>
      <x:c r="J17" s="12" t="str">
        <x:v>待核</x:v>
      </x:c>
    </x:row>
    <x:row r="18">
      <x:c r="A18" s="12" t="str">
        <x:v>SRC-E011</x:v>
      </x:c>
      <x:c r="B18" s="12" t="str">
        <x:v>券商研报</x:v>
      </x:c>
      <x:c r="C18" s="12" t="str">
        <x:v>券商研报</x:v>
      </x:c>
      <x:c r="D18" s="12" t="str">
        <x:v>待核</x:v>
      </x:c>
      <x:c r="E18" s="12" t="str">
        <x:v>未记录</x:v>
      </x:c>
      <x:c r="F18" s="12" t="str"/>
      <x:c r="G18" s="12" t="str">
        <x:v>沿用原工作簿来源文字；精确URL/日期待补</x:v>
      </x:c>
      <x:c r="H18" s="12" t="str">
        <x:v>设备参数原工作簿</x:v>
      </x:c>
      <x:c r="I18" s="12" t="str">
        <x:v>2026-09-14</x:v>
      </x:c>
      <x:c r="J18" s="12" t="str">
        <x:v>待核</x:v>
      </x:c>
    </x:row>
    <x:row r="19">
      <x:c r="A19" s="12" t="str">
        <x:v>SRC-E012</x:v>
      </x:c>
      <x:c r="B19" s="12" t="str">
        <x:v>国信证券研报</x:v>
      </x:c>
      <x:c r="C19" s="12" t="str">
        <x:v>国信证券研报</x:v>
      </x:c>
      <x:c r="D19" s="12" t="str">
        <x:v>待核</x:v>
      </x:c>
      <x:c r="E19" s="12" t="str">
        <x:v>未记录</x:v>
      </x:c>
      <x:c r="F19" s="12" t="str"/>
      <x:c r="G19" s="12" t="str">
        <x:v>沿用原工作簿来源文字；精确URL/日期待补</x:v>
      </x:c>
      <x:c r="H19" s="12" t="str">
        <x:v>设备参数原工作簿</x:v>
      </x:c>
      <x:c r="I19" s="12" t="str">
        <x:v>2026-09-14</x:v>
      </x:c>
      <x:c r="J19" s="12" t="str">
        <x:v>待核</x:v>
      </x:c>
    </x:row>
    <x:row r="20">
      <x:c r="A20" s="12" t="str">
        <x:v>SRC-E013</x:v>
      </x:c>
      <x:c r="B20" s="12" t="str">
        <x:v>中国房地产网/国信证券</x:v>
      </x:c>
      <x:c r="C20" s="12" t="str">
        <x:v>中国房地产网/国信证券</x:v>
      </x:c>
      <x:c r="D20" s="12" t="str">
        <x:v>待核</x:v>
      </x:c>
      <x:c r="E20" s="12" t="str">
        <x:v>未记录</x:v>
      </x:c>
      <x:c r="F20" s="12" t="str"/>
      <x:c r="G20" s="12" t="str">
        <x:v>沿用原工作簿来源文字；精确URL/日期待补</x:v>
      </x:c>
      <x:c r="H20" s="12" t="str">
        <x:v>设备参数原工作簿</x:v>
      </x:c>
      <x:c r="I20" s="12" t="str">
        <x:v>2026-09-14</x:v>
      </x:c>
      <x:c r="J20" s="12" t="str">
        <x:v>待核</x:v>
      </x:c>
    </x:row>
    <x:row r="21">
      <x:c r="A21" s="12" t="str">
        <x:v>SRC-E014</x:v>
      </x:c>
      <x:c r="B21" s="12" t="str">
        <x:v>新石器官网 neolix.net</x:v>
      </x:c>
      <x:c r="C21" s="12" t="str">
        <x:v>新石器</x:v>
      </x:c>
      <x:c r="D21" s="12" t="str">
        <x:v>B</x:v>
      </x:c>
      <x:c r="E21" s="12" t="str">
        <x:v>未记录</x:v>
      </x:c>
      <x:c r="F21" s="12" t="str">
        <x:v>https://www.neolix.net/</x:v>
      </x:c>
      <x:c r="G21" s="12" t="str">
        <x:v>官网主页已记录；精确型号页待补</x:v>
      </x:c>
      <x:c r="H21" s="12" t="str">
        <x:v>设备参数原工作簿</x:v>
      </x:c>
      <x:c r="I21" s="12" t="str">
        <x:v>2026-09-14</x:v>
      </x:c>
      <x:c r="J21" s="12" t="str">
        <x:v>待核</x:v>
      </x:c>
    </x:row>
    <x:row r="22">
      <x:c r="A22" s="12" t="str">
        <x:v>SRC-E015</x:v>
      </x:c>
      <x:c r="B22" s="12" t="str">
        <x:v>北京商报 2025-09-03</x:v>
      </x:c>
      <x:c r="C22" s="12" t="str">
        <x:v>北京商报 2025-09-03</x:v>
      </x:c>
      <x:c r="D22" s="12" t="str">
        <x:v>待核</x:v>
      </x:c>
      <x:c r="E22" s="12" t="str">
        <x:v>未记录</x:v>
      </x:c>
      <x:c r="F22" s="12" t="str"/>
      <x:c r="G22" s="12" t="str">
        <x:v>沿用原工作簿来源文字；精确URL/日期待补</x:v>
      </x:c>
      <x:c r="H22" s="12" t="str">
        <x:v>设备参数原工作簿</x:v>
      </x:c>
      <x:c r="I22" s="12" t="str">
        <x:v>2026-09-14</x:v>
      </x:c>
      <x:c r="J22" s="12" t="str">
        <x:v>待核</x:v>
      </x:c>
    </x:row>
    <x:row r="23">
      <x:c r="A23" s="12" t="str">
        <x:v>SRC-E016</x:v>
      </x:c>
      <x:c r="B23" s="12" t="str">
        <x:v>北京商报引述行业口径</x:v>
      </x:c>
      <x:c r="C23" s="12" t="str">
        <x:v>北京商报引述行业口径</x:v>
      </x:c>
      <x:c r="D23" s="12" t="str">
        <x:v>待核</x:v>
      </x:c>
      <x:c r="E23" s="12" t="str">
        <x:v>未记录</x:v>
      </x:c>
      <x:c r="F23" s="12" t="str"/>
      <x:c r="G23" s="12" t="str">
        <x:v>沿用原工作簿来源文字；精确URL/日期待补</x:v>
      </x:c>
      <x:c r="H23" s="12" t="str">
        <x:v>设备参数原工作簿</x:v>
      </x:c>
      <x:c r="I23" s="12" t="str">
        <x:v>2026-09-14</x:v>
      </x:c>
      <x:c r="J23" s="12" t="str">
        <x:v>待核</x:v>
      </x:c>
    </x:row>
    <x:row r="24">
      <x:c r="A24" s="12" t="str">
        <x:v>SRC-E017</x:v>
      </x:c>
      <x:c r="B24" s="12" t="str">
        <x:v>新浪财经</x:v>
      </x:c>
      <x:c r="C24" s="12" t="str">
        <x:v>新浪财经</x:v>
      </x:c>
      <x:c r="D24" s="12" t="str">
        <x:v>待核</x:v>
      </x:c>
      <x:c r="E24" s="12" t="str">
        <x:v>未记录</x:v>
      </x:c>
      <x:c r="F24" s="12" t="str"/>
      <x:c r="G24" s="12" t="str">
        <x:v>沿用原工作簿来源文字；精确URL/日期待补</x:v>
      </x:c>
      <x:c r="H24" s="12" t="str">
        <x:v>设备参数原工作簿</x:v>
      </x:c>
      <x:c r="I24" s="12" t="str">
        <x:v>2026-09-14</x:v>
      </x:c>
      <x:c r="J24" s="12" t="str">
        <x:v>待核</x:v>
      </x:c>
    </x:row>
    <x:row r="25">
      <x:c r="A25" s="12" t="str">
        <x:v>SRC-E018</x:v>
      </x:c>
      <x:c r="B25" s="12" t="str">
        <x:v>卡车之家盘点</x:v>
      </x:c>
      <x:c r="C25" s="12" t="str">
        <x:v>卡车之家盘点</x:v>
      </x:c>
      <x:c r="D25" s="12" t="str">
        <x:v>待核</x:v>
      </x:c>
      <x:c r="E25" s="12" t="str">
        <x:v>未记录</x:v>
      </x:c>
      <x:c r="F25" s="12" t="str"/>
      <x:c r="G25" s="12" t="str">
        <x:v>沿用原工作簿来源文字；精确URL/日期待补</x:v>
      </x:c>
      <x:c r="H25" s="12" t="str">
        <x:v>设备参数原工作簿</x:v>
      </x:c>
      <x:c r="I25" s="12" t="str">
        <x:v>2026-09-14</x:v>
      </x:c>
      <x:c r="J25" s="12" t="str">
        <x:v>待核</x:v>
      </x:c>
    </x:row>
    <x:row r="26">
      <x:c r="A26" s="12" t="str">
        <x:v>SRC-E019</x:v>
      </x:c>
      <x:c r="B26" s="12" t="str">
        <x:v>鄂尔多斯东胜区采购公示（三家报价）</x:v>
      </x:c>
      <x:c r="C26" s="12" t="str">
        <x:v>鄂尔多斯东胜区采购公示（三家报价）</x:v>
      </x:c>
      <x:c r="D26" s="12" t="str">
        <x:v>待核</x:v>
      </x:c>
      <x:c r="E26" s="12" t="str">
        <x:v>未记录</x:v>
      </x:c>
      <x:c r="F26" s="12" t="str"/>
      <x:c r="G26" s="12" t="str">
        <x:v>沿用原工作簿来源文字；精确URL/日期待补</x:v>
      </x:c>
      <x:c r="H26" s="12" t="str">
        <x:v>设备参数原工作簿</x:v>
      </x:c>
      <x:c r="I26" s="12" t="str">
        <x:v>2026-09-14</x:v>
      </x:c>
      <x:c r="J26" s="12" t="str">
        <x:v>待核</x:v>
      </x:c>
    </x:row>
    <x:row r="27">
      <x:c r="A27" s="12" t="str">
        <x:v>SRC-E020</x:v>
      </x:c>
      <x:c r="B27" s="12" t="str">
        <x:v>鄂尔多斯东胜区采购公示</x:v>
      </x:c>
      <x:c r="C27" s="12" t="str">
        <x:v>鄂尔多斯东胜区采购公示</x:v>
      </x:c>
      <x:c r="D27" s="12" t="str">
        <x:v>待核</x:v>
      </x:c>
      <x:c r="E27" s="12" t="str">
        <x:v>未记录</x:v>
      </x:c>
      <x:c r="F27" s="12" t="str"/>
      <x:c r="G27" s="12" t="str">
        <x:v>沿用原工作簿来源文字；精确URL/日期待补</x:v>
      </x:c>
      <x:c r="H27" s="12" t="str">
        <x:v>设备参数原工作簿</x:v>
      </x:c>
      <x:c r="I27" s="12" t="str">
        <x:v>2026-09-14</x:v>
      </x:c>
      <x:c r="J27" s="12" t="str">
        <x:v>待核</x:v>
      </x:c>
    </x:row>
    <x:row r="28">
      <x:c r="A28" s="12" t="str">
        <x:v>SRC-E021</x:v>
      </x:c>
      <x:c r="B28" s="12" t="str">
        <x:v>依据上列政府报价拟合</x:v>
      </x:c>
      <x:c r="C28" s="12" t="str">
        <x:v>团队根据采购样本拟合</x:v>
      </x:c>
      <x:c r="D28" s="12" t="str">
        <x:v>A/E</x:v>
      </x:c>
      <x:c r="E28" s="12" t="str">
        <x:v>2026-09-13</x:v>
      </x:c>
      <x:c r="F28" s="12" t="str"/>
      <x:c r="G28" s="12" t="str">
        <x:v>需保留采购样本与拟合过程</x:v>
      </x:c>
      <x:c r="H28" s="12" t="str">
        <x:v>设备参数原工作簿</x:v>
      </x:c>
      <x:c r="I28" s="12" t="str">
        <x:v>2026-09-14</x:v>
      </x:c>
      <x:c r="J28" s="12" t="str">
        <x:v>待核</x:v>
      </x:c>
    </x:row>
    <x:row r="29">
      <x:c r="A29" s="12" t="str">
        <x:v>SRC-E022</x:v>
      </x:c>
      <x:c r="B29" s="12" t="str">
        <x:v>中国邮政中标候选人公示 2026-05</x:v>
      </x:c>
      <x:c r="C29" s="12" t="str">
        <x:v>中国邮政中标候选人公示 2026-05</x:v>
      </x:c>
      <x:c r="D29" s="12" t="str">
        <x:v>待核</x:v>
      </x:c>
      <x:c r="E29" s="12" t="str">
        <x:v>未记录</x:v>
      </x:c>
      <x:c r="F29" s="12" t="str"/>
      <x:c r="G29" s="12" t="str">
        <x:v>沿用原工作簿来源文字；精确URL/日期待补</x:v>
      </x:c>
      <x:c r="H29" s="12" t="str">
        <x:v>设备参数原工作簿</x:v>
      </x:c>
      <x:c r="I29" s="12" t="str">
        <x:v>2026-09-14</x:v>
      </x:c>
      <x:c r="J29" s="12" t="str">
        <x:v>待核</x:v>
      </x:c>
    </x:row>
    <x:row r="30">
      <x:c r="A30" s="12" t="str">
        <x:v>SRC-E023</x:v>
      </x:c>
      <x:c r="B30" s="12" t="str">
        <x:v>中国政府采购网 2025-12</x:v>
      </x:c>
      <x:c r="C30" s="12" t="str">
        <x:v>中国政府采购网 2025-12</x:v>
      </x:c>
      <x:c r="D30" s="12" t="str">
        <x:v>待核</x:v>
      </x:c>
      <x:c r="E30" s="12" t="str">
        <x:v>未记录</x:v>
      </x:c>
      <x:c r="F30" s="12" t="str"/>
      <x:c r="G30" s="12" t="str">
        <x:v>沿用原工作簿来源文字；精确URL/日期待补</x:v>
      </x:c>
      <x:c r="H30" s="12" t="str">
        <x:v>设备参数原工作簿</x:v>
      </x:c>
      <x:c r="I30" s="12" t="str">
        <x:v>2026-09-14</x:v>
      </x:c>
      <x:c r="J30" s="12" t="str">
        <x:v>待核</x:v>
      </x:c>
    </x:row>
    <x:row r="31">
      <x:c r="A31" s="12" t="str">
        <x:v>SRC-E024</x:v>
      </x:c>
      <x:c r="B31" s="12" t="str">
        <x:v>鄂尔多斯邮政采购公示 2025-12</x:v>
      </x:c>
      <x:c r="C31" s="12" t="str">
        <x:v>鄂尔多斯邮政采购公示 2025-12</x:v>
      </x:c>
      <x:c r="D31" s="12" t="str">
        <x:v>待核</x:v>
      </x:c>
      <x:c r="E31" s="12" t="str">
        <x:v>未记录</x:v>
      </x:c>
      <x:c r="F31" s="12" t="str"/>
      <x:c r="G31" s="12" t="str">
        <x:v>沿用原工作簿来源文字；精确URL/日期待补</x:v>
      </x:c>
      <x:c r="H31" s="12" t="str">
        <x:v>设备参数原工作簿</x:v>
      </x:c>
      <x:c r="I31" s="12" t="str">
        <x:v>2026-09-14</x:v>
      </x:c>
      <x:c r="J31" s="12" t="str">
        <x:v>待核</x:v>
      </x:c>
    </x:row>
    <x:row r="32">
      <x:c r="A32" s="12" t="str">
        <x:v>SRC-E025</x:v>
      </x:c>
      <x:c r="B32" s="12" t="str">
        <x:v>百度爱采购行业百科</x:v>
      </x:c>
      <x:c r="C32" s="12" t="str">
        <x:v>百度爱采购行业百科</x:v>
      </x:c>
      <x:c r="D32" s="12" t="str">
        <x:v>待核</x:v>
      </x:c>
      <x:c r="E32" s="12" t="str">
        <x:v>未记录</x:v>
      </x:c>
      <x:c r="F32" s="12" t="str"/>
      <x:c r="G32" s="12" t="str">
        <x:v>沿用原工作簿来源文字；精确URL/日期待补</x:v>
      </x:c>
      <x:c r="H32" s="12" t="str">
        <x:v>设备参数原工作簿</x:v>
      </x:c>
      <x:c r="I32" s="12" t="str">
        <x:v>2026-09-14</x:v>
      </x:c>
      <x:c r="J32" s="12" t="str">
        <x:v>待核</x:v>
      </x:c>
    </x:row>
    <x:row r="33">
      <x:c r="A33" s="12" t="str">
        <x:v>SRC-E026</x:v>
      </x:c>
      <x:c r="B33" s="12" t="str">
        <x:v>按 1 柜+4 组电池+系统+改造推算</x:v>
      </x:c>
      <x:c r="C33" s="12" t="str">
        <x:v>按 1 柜+4 组电池+系统+改造推算</x:v>
      </x:c>
      <x:c r="D33" s="12" t="str">
        <x:v>待核</x:v>
      </x:c>
      <x:c r="E33" s="12" t="str">
        <x:v>未记录</x:v>
      </x:c>
      <x:c r="F33" s="12" t="str"/>
      <x:c r="G33" s="12" t="str">
        <x:v>沿用原工作簿来源文字；精确URL/日期待补</x:v>
      </x:c>
      <x:c r="H33" s="12" t="str">
        <x:v>设备参数原工作簿</x:v>
      </x:c>
      <x:c r="I33" s="12" t="str">
        <x:v>2026-09-14</x:v>
      </x:c>
      <x:c r="J33" s="12" t="str">
        <x:v>待核</x:v>
      </x:c>
    </x:row>
    <x:row r="34">
      <x:c r="A34" s="12" t="str">
        <x:v>SRC-E027</x:v>
      </x:c>
      <x:c r="B34" s="12" t="str">
        <x:v>与非网《无人驾驶快递车电池》</x:v>
      </x:c>
      <x:c r="C34" s="12" t="str">
        <x:v>与非网《无人驾驶快递车电池》</x:v>
      </x:c>
      <x:c r="D34" s="12" t="str">
        <x:v>待核</x:v>
      </x:c>
      <x:c r="E34" s="12" t="str">
        <x:v>未记录</x:v>
      </x:c>
      <x:c r="F34" s="12" t="str"/>
      <x:c r="G34" s="12" t="str">
        <x:v>沿用原工作簿来源文字；精确URL/日期待补</x:v>
      </x:c>
      <x:c r="H34" s="12" t="str">
        <x:v>设备参数原工作簿</x:v>
      </x:c>
      <x:c r="I34" s="12" t="str">
        <x:v>2026-09-14</x:v>
      </x:c>
      <x:c r="J34" s="12" t="str">
        <x:v>待核</x:v>
      </x:c>
    </x:row>
    <x:row r="35">
      <x:c r="A35" s="12" t="str">
        <x:v>SRC-E028</x:v>
      </x:c>
      <x:c r="B35" s="12" t="str">
        <x:v>与非网</x:v>
      </x:c>
      <x:c r="C35" s="12" t="str">
        <x:v>与非网</x:v>
      </x:c>
      <x:c r="D35" s="12" t="str">
        <x:v>待核</x:v>
      </x:c>
      <x:c r="E35" s="12" t="str">
        <x:v>未记录</x:v>
      </x:c>
      <x:c r="F35" s="12" t="str"/>
      <x:c r="G35" s="12" t="str">
        <x:v>沿用原工作簿来源文字；精确URL/日期待补</x:v>
      </x:c>
      <x:c r="H35" s="12" t="str">
        <x:v>设备参数原工作簿</x:v>
      </x:c>
      <x:c r="I35" s="12" t="str">
        <x:v>2026-09-14</x:v>
      </x:c>
      <x:c r="J35" s="12" t="str">
        <x:v>待核</x:v>
      </x:c>
    </x:row>
    <x:row r="36">
      <x:c r="A36" s="12" t="str">
        <x:v>SRC-E029</x:v>
      </x:c>
      <x:c r="B36" s="12" t="str">
        <x:v>综合推定</x:v>
      </x:c>
      <x:c r="C36" s="12" t="str">
        <x:v>团队建模假设</x:v>
      </x:c>
      <x:c r="D36" s="12" t="str">
        <x:v>E</x:v>
      </x:c>
      <x:c r="E36" s="12" t="str">
        <x:v>2026-09-13</x:v>
      </x:c>
      <x:c r="F36" s="12" t="str"/>
      <x:c r="G36" s="12" t="str">
        <x:v>必须做敏感性分析</x:v>
      </x:c>
      <x:c r="H36" s="12" t="str">
        <x:v>设备参数原工作簿</x:v>
      </x:c>
      <x:c r="I36" s="12" t="str">
        <x:v>2026-09-14</x:v>
      </x:c>
      <x:c r="J36" s="12" t="str">
        <x:v>待核</x:v>
      </x:c>
    </x:row>
    <x:row r="37">
      <x:c r="A37" s="12" t="str">
        <x:v>SRC-E030</x:v>
      </x:c>
      <x:c r="B37" s="12" t="str">
        <x:v>低速无人驾驶产业联盟 × 平安产险 × 中再产险</x:v>
      </x:c>
      <x:c r="C37" s="12" t="str">
        <x:v>低速无人驾驶产业联盟 × 平安产险 × 中再产险</x:v>
      </x:c>
      <x:c r="D37" s="12" t="str">
        <x:v>待核</x:v>
      </x:c>
      <x:c r="E37" s="12" t="str">
        <x:v>未记录</x:v>
      </x:c>
      <x:c r="F37" s="12" t="str"/>
      <x:c r="G37" s="12" t="str">
        <x:v>沿用原工作簿来源文字；精确URL/日期待补</x:v>
      </x:c>
      <x:c r="H37" s="12" t="str">
        <x:v>设备参数原工作簿</x:v>
      </x:c>
      <x:c r="I37" s="12" t="str">
        <x:v>2026-09-14</x:v>
      </x:c>
      <x:c r="J37" s="12" t="str">
        <x:v>待核</x:v>
      </x:c>
    </x:row>
    <x:row r="38">
      <x:c r="A38" s="12" t="str">
        <x:v>SRC-E031</x:v>
      </x:c>
      <x:c r="B38" s="12" t="str">
        <x:v>同上</x:v>
      </x:c>
      <x:c r="C38" s="12" t="str">
        <x:v>同上</x:v>
      </x:c>
      <x:c r="D38" s="12" t="str">
        <x:v>待核</x:v>
      </x:c>
      <x:c r="E38" s="12" t="str">
        <x:v>未记录</x:v>
      </x:c>
      <x:c r="F38" s="12" t="str"/>
      <x:c r="G38" s="12" t="str">
        <x:v>沿用原工作簿来源文字；精确URL/日期待补</x:v>
      </x:c>
      <x:c r="H38" s="12" t="str">
        <x:v>设备参数原工作簿</x:v>
      </x:c>
      <x:c r="I38" s="12" t="str">
        <x:v>2026-09-14</x:v>
      </x:c>
      <x:c r="J38" s="12" t="str">
        <x:v>待核</x:v>
      </x:c>
    </x:row>
    <x:row r="39">
      <x:c r="A39" s="12" t="str">
        <x:v>SRC-E032</x:v>
      </x:c>
      <x:c r="B39" s="12" t="str">
        <x:v>有驾/行业媒体</x:v>
      </x:c>
      <x:c r="C39" s="12" t="str">
        <x:v>有驾/行业媒体</x:v>
      </x:c>
      <x:c r="D39" s="12" t="str">
        <x:v>待核</x:v>
      </x:c>
      <x:c r="E39" s="12" t="str">
        <x:v>未记录</x:v>
      </x:c>
      <x:c r="F39" s="12" t="str"/>
      <x:c r="G39" s="12" t="str">
        <x:v>沿用原工作簿来源文字；精确URL/日期待补</x:v>
      </x:c>
      <x:c r="H39" s="12" t="str">
        <x:v>设备参数原工作簿</x:v>
      </x:c>
      <x:c r="I39" s="12" t="str">
        <x:v>2026-09-14</x:v>
      </x:c>
      <x:c r="J39" s="12" t="str">
        <x:v>待核</x:v>
      </x:c>
    </x:row>
    <x:row r="40">
      <x:c r="A40" s="12" t="str">
        <x:v>SRC-E033</x:v>
      </x:c>
      <x:c r="B40" s="12" t="str">
        <x:v>行业媒体解读 2026-07 新规</x:v>
      </x:c>
      <x:c r="C40" s="12" t="str">
        <x:v>行业媒体解读 2026-07 新规</x:v>
      </x:c>
      <x:c r="D40" s="12" t="str">
        <x:v>待核</x:v>
      </x:c>
      <x:c r="E40" s="12" t="str">
        <x:v>未记录</x:v>
      </x:c>
      <x:c r="F40" s="12" t="str"/>
      <x:c r="G40" s="12" t="str">
        <x:v>沿用原工作簿来源文字；精确URL/日期待补</x:v>
      </x:c>
      <x:c r="H40" s="12" t="str">
        <x:v>设备参数原工作簿</x:v>
      </x:c>
      <x:c r="I40" s="12" t="str">
        <x:v>2026-09-14</x:v>
      </x:c>
      <x:c r="J40" s="12" t="str">
        <x:v>待核</x:v>
      </x:c>
    </x:row>
    <x:row r="41">
      <x:c r="A41" s="12" t="str">
        <x:v>SRC-E034</x:v>
      </x:c>
      <x:c r="B41" s="12" t="str">
        <x:v>新浪财经研报</x:v>
      </x:c>
      <x:c r="C41" s="12" t="str">
        <x:v>新浪财经研报</x:v>
      </x:c>
      <x:c r="D41" s="12" t="str">
        <x:v>待核</x:v>
      </x:c>
      <x:c r="E41" s="12" t="str">
        <x:v>未记录</x:v>
      </x:c>
      <x:c r="F41" s="12" t="str"/>
      <x:c r="G41" s="12" t="str">
        <x:v>沿用原工作簿来源文字；精确URL/日期待补</x:v>
      </x:c>
      <x:c r="H41" s="12" t="str">
        <x:v>设备参数原工作簿</x:v>
      </x:c>
      <x:c r="I41" s="12" t="str">
        <x:v>2026-09-14</x:v>
      </x:c>
      <x:c r="J41" s="12" t="str">
        <x:v>待核</x:v>
      </x:c>
    </x:row>
    <x:row r="42">
      <x:c r="A42" s="12" t="str">
        <x:v>SRC-E035</x:v>
      </x:c>
      <x:c r="B42" s="12" t="str">
        <x:v>行业媒体（新规解读）</x:v>
      </x:c>
      <x:c r="C42" s="12" t="str">
        <x:v>行业媒体（新规解读）</x:v>
      </x:c>
      <x:c r="D42" s="12" t="str">
        <x:v>待核</x:v>
      </x:c>
      <x:c r="E42" s="12" t="str">
        <x:v>未记录</x:v>
      </x:c>
      <x:c r="F42" s="12" t="str"/>
      <x:c r="G42" s="12" t="str">
        <x:v>沿用原工作簿来源文字；精确URL/日期待补</x:v>
      </x:c>
      <x:c r="H42" s="12" t="str">
        <x:v>设备参数原工作簿</x:v>
      </x:c>
      <x:c r="I42" s="12" t="str">
        <x:v>2026-09-14</x:v>
      </x:c>
      <x:c r="J42" s="12" t="str">
        <x:v>待核</x:v>
      </x:c>
    </x:row>
    <x:row r="43">
      <x:c r="A43" s="12" t="str">
        <x:v>SRC-E036</x:v>
      </x:c>
      <x:c r="B43" s="12" t="str">
        <x:v>行业媒体（南通案例）</x:v>
      </x:c>
      <x:c r="C43" s="12" t="str">
        <x:v>行业媒体（南通案例）</x:v>
      </x:c>
      <x:c r="D43" s="12" t="str">
        <x:v>待核</x:v>
      </x:c>
      <x:c r="E43" s="12" t="str">
        <x:v>未记录</x:v>
      </x:c>
      <x:c r="F43" s="12" t="str"/>
      <x:c r="G43" s="12" t="str">
        <x:v>沿用原工作簿来源文字；精确URL/日期待补</x:v>
      </x:c>
      <x:c r="H43" s="12" t="str">
        <x:v>设备参数原工作簿</x:v>
      </x:c>
      <x:c r="I43" s="12" t="str">
        <x:v>2026-09-14</x:v>
      </x:c>
      <x:c r="J43" s="12" t="str">
        <x:v>待核</x:v>
      </x:c>
    </x:row>
    <x:row r="44">
      <x:c r="A44" s="12" t="str">
        <x:v>SRC-E037</x:v>
      </x:c>
      <x:c r="B44" s="12" t="str">
        <x:v>有驾</x:v>
      </x:c>
      <x:c r="C44" s="12" t="str">
        <x:v>有驾</x:v>
      </x:c>
      <x:c r="D44" s="12" t="str">
        <x:v>待核</x:v>
      </x:c>
      <x:c r="E44" s="12" t="str">
        <x:v>未记录</x:v>
      </x:c>
      <x:c r="F44" s="12" t="str"/>
      <x:c r="G44" s="12" t="str">
        <x:v>沿用原工作簿来源文字；精确URL/日期待补</x:v>
      </x:c>
      <x:c r="H44" s="12" t="str">
        <x:v>设备参数原工作簿</x:v>
      </x:c>
      <x:c r="I44" s="12" t="str">
        <x:v>2026-09-14</x:v>
      </x:c>
      <x:c r="J44" s="12" t="str">
        <x:v>待核</x:v>
      </x:c>
    </x:row>
    <x:row r="45">
      <x:c r="A45" s="12" t="str">
        <x:v>SRC-E038</x:v>
      </x:c>
      <x:c r="B45" s="12" t="str">
        <x:v>《自动驾驶汽车运输安全服务指南（试行）》</x:v>
      </x:c>
      <x:c r="C45" s="12" t="str">
        <x:v>《自动驾驶汽车运输安全服务指南（试行）》</x:v>
      </x:c>
      <x:c r="D45" s="12" t="str">
        <x:v>待核</x:v>
      </x:c>
      <x:c r="E45" s="12" t="str">
        <x:v>未记录</x:v>
      </x:c>
      <x:c r="F45" s="12" t="str"/>
      <x:c r="G45" s="12" t="str">
        <x:v>沿用原工作簿来源文字；精确URL/日期待补</x:v>
      </x:c>
      <x:c r="H45" s="12" t="str">
        <x:v>设备参数原工作簿</x:v>
      </x:c>
      <x:c r="I45" s="12" t="str">
        <x:v>2026-09-14</x:v>
      </x:c>
      <x:c r="J45" s="12" t="str">
        <x:v>待核</x:v>
      </x:c>
    </x:row>
    <x:row r="46">
      <x:c r="A46" s="12" t="str">
        <x:v>SRC-E039</x:v>
      </x:c>
      <x:c r="B46" s="12" t="str">
        <x:v>南通《无人驾驶装备商业示范应用管理实施细则》2025-12</x:v>
      </x:c>
      <x:c r="C46" s="12" t="str">
        <x:v>南通《无人驾驶装备商业示范应用管理实施细则》2025-12</x:v>
      </x:c>
      <x:c r="D46" s="12" t="str">
        <x:v>待核</x:v>
      </x:c>
      <x:c r="E46" s="12" t="str">
        <x:v>未记录</x:v>
      </x:c>
      <x:c r="F46" s="12" t="str"/>
      <x:c r="G46" s="12" t="str">
        <x:v>沿用原工作簿来源文字；精确URL/日期待补</x:v>
      </x:c>
      <x:c r="H46" s="12" t="str">
        <x:v>设备参数原工作簿</x:v>
      </x:c>
      <x:c r="I46" s="12" t="str">
        <x:v>2026-09-14</x:v>
      </x:c>
      <x:c r="J46" s="12" t="str">
        <x:v>待核</x:v>
      </x:c>
    </x:row>
    <x:row r="47">
      <x:c r="A47" s="12" t="str">
        <x:v>SRC-E040</x:v>
      </x:c>
      <x:c r="B47" s="12" t="str">
        <x:v>来宾市《无人驾驶装备运营管理办法（试行）》2026</x:v>
      </x:c>
      <x:c r="C47" s="12" t="str">
        <x:v>来宾市《无人驾驶装备运营管理办法（试行）》2026</x:v>
      </x:c>
      <x:c r="D47" s="12" t="str">
        <x:v>待核</x:v>
      </x:c>
      <x:c r="E47" s="12" t="str">
        <x:v>未记录</x:v>
      </x:c>
      <x:c r="F47" s="12" t="str"/>
      <x:c r="G47" s="12" t="str">
        <x:v>沿用原工作簿来源文字；精确URL/日期待补</x:v>
      </x:c>
      <x:c r="H47" s="12" t="str">
        <x:v>设备参数原工作簿</x:v>
      </x:c>
      <x:c r="I47" s="12" t="str">
        <x:v>2026-09-14</x:v>
      </x:c>
      <x:c r="J47" s="12" t="str">
        <x:v>待核</x:v>
      </x:c>
    </x:row>
    <x:row r="48">
      <x:c r="A48" s="12" t="str">
        <x:v>SRC-E041</x:v>
      </x:c>
      <x:c r="B48" s="12" t="str">
        <x:v>马鞍山市邮政快递无人车指导意见</x:v>
      </x:c>
      <x:c r="C48" s="12" t="str">
        <x:v>马鞍山市邮政快递无人车指导意见</x:v>
      </x:c>
      <x:c r="D48" s="12" t="str">
        <x:v>待核</x:v>
      </x:c>
      <x:c r="E48" s="12" t="str">
        <x:v>未记录</x:v>
      </x:c>
      <x:c r="F48" s="12" t="str"/>
      <x:c r="G48" s="12" t="str">
        <x:v>沿用原工作簿来源文字；精确URL/日期待补</x:v>
      </x:c>
      <x:c r="H48" s="12" t="str">
        <x:v>设备参数原工作簿</x:v>
      </x:c>
      <x:c r="I48" s="12" t="str">
        <x:v>2026-09-14</x:v>
      </x:c>
      <x:c r="J48" s="12" t="str">
        <x:v>待核</x:v>
      </x:c>
    </x:row>
    <x:row r="49">
      <x:c r="A49" s="12" t="str">
        <x:v>SRC-E042</x:v>
      </x:c>
      <x:c r="B49" s="12" t="str">
        <x:v>布谷鸟同创公开分享</x:v>
      </x:c>
      <x:c r="C49" s="12" t="str">
        <x:v>布谷鸟同创公开分享</x:v>
      </x:c>
      <x:c r="D49" s="12" t="str">
        <x:v>待核</x:v>
      </x:c>
      <x:c r="E49" s="12" t="str">
        <x:v>未记录</x:v>
      </x:c>
      <x:c r="F49" s="12" t="str"/>
      <x:c r="G49" s="12" t="str">
        <x:v>沿用原工作簿来源文字；精确URL/日期待补</x:v>
      </x:c>
      <x:c r="H49" s="12" t="str">
        <x:v>设备参数原工作簿</x:v>
      </x:c>
      <x:c r="I49" s="12" t="str">
        <x:v>2026-09-14</x:v>
      </x:c>
      <x:c r="J49" s="12" t="str">
        <x:v>待核</x:v>
      </x:c>
    </x:row>
    <x:row r="50">
      <x:c r="A50" s="12" t="str">
        <x:v>SRC-E043</x:v>
      </x:c>
      <x:c r="B50" s="12" t="str">
        <x:v>CTP 无人车行业测算</x:v>
      </x:c>
      <x:c r="C50" s="12" t="str">
        <x:v>CTP 无人车行业测算</x:v>
      </x:c>
      <x:c r="D50" s="12" t="str">
        <x:v>待核</x:v>
      </x:c>
      <x:c r="E50" s="12" t="str">
        <x:v>未记录</x:v>
      </x:c>
      <x:c r="F50" s="12" t="str"/>
      <x:c r="G50" s="12" t="str">
        <x:v>沿用原工作簿来源文字；精确URL/日期待补</x:v>
      </x:c>
      <x:c r="H50" s="12" t="str">
        <x:v>设备参数原工作簿</x:v>
      </x:c>
      <x:c r="I50" s="12" t="str">
        <x:v>2026-09-14</x:v>
      </x:c>
      <x:c r="J50" s="12" t="str">
        <x:v>待核</x:v>
      </x:c>
    </x:row>
    <x:row r="51">
      <x:c r="A51" s="12" t="str">
        <x:v>SRC-E044</x:v>
      </x:c>
      <x:c r="B51" s="12" t="str">
        <x:v>CTP 无人车 / 有驾</x:v>
      </x:c>
      <x:c r="C51" s="12" t="str">
        <x:v>CTP 无人车 / 有驾</x:v>
      </x:c>
      <x:c r="D51" s="12" t="str">
        <x:v>待核</x:v>
      </x:c>
      <x:c r="E51" s="12" t="str">
        <x:v>未记录</x:v>
      </x:c>
      <x:c r="F51" s="12" t="str"/>
      <x:c r="G51" s="12" t="str">
        <x:v>沿用原工作簿来源文字；精确URL/日期待补</x:v>
      </x:c>
      <x:c r="H51" s="12" t="str">
        <x:v>设备参数原工作簿</x:v>
      </x:c>
      <x:c r="I51" s="12" t="str">
        <x:v>2026-09-14</x:v>
      </x:c>
      <x:c r="J51" s="12" t="str">
        <x:v>待核</x:v>
      </x:c>
    </x:row>
    <x:row r="52">
      <x:c r="A52" s="12" t="str">
        <x:v>SRC-E045</x:v>
      </x:c>
      <x:c r="B52" s="12" t="str">
        <x:v>中国房地产网 / 兴业证券</x:v>
      </x:c>
      <x:c r="C52" s="12" t="str">
        <x:v>中国房地产网 / 兴业证券</x:v>
      </x:c>
      <x:c r="D52" s="12" t="str">
        <x:v>待核</x:v>
      </x:c>
      <x:c r="E52" s="12" t="str">
        <x:v>未记录</x:v>
      </x:c>
      <x:c r="F52" s="12" t="str"/>
      <x:c r="G52" s="12" t="str">
        <x:v>沿用原工作簿来源文字；精确URL/日期待补</x:v>
      </x:c>
      <x:c r="H52" s="12" t="str">
        <x:v>设备参数原工作簿</x:v>
      </x:c>
      <x:c r="I52" s="12" t="str">
        <x:v>2026-09-14</x:v>
      </x:c>
      <x:c r="J52" s="12" t="str">
        <x:v>待核</x:v>
      </x:c>
    </x:row>
    <x:row r="53">
      <x:c r="A53" s="12" t="str">
        <x:v>SRC-E046</x:v>
      </x:c>
      <x:c r="B53" s="12" t="str">
        <x:v>兴业证券研报</x:v>
      </x:c>
      <x:c r="C53" s="12" t="str">
        <x:v>兴业证券研报</x:v>
      </x:c>
      <x:c r="D53" s="12" t="str">
        <x:v>待核</x:v>
      </x:c>
      <x:c r="E53" s="12" t="str">
        <x:v>未记录</x:v>
      </x:c>
      <x:c r="F53" s="12" t="str"/>
      <x:c r="G53" s="12" t="str">
        <x:v>沿用原工作簿来源文字；精确URL/日期待补</x:v>
      </x:c>
      <x:c r="H53" s="12" t="str">
        <x:v>设备参数原工作簿</x:v>
      </x:c>
      <x:c r="I53" s="12" t="str">
        <x:v>2026-09-14</x:v>
      </x:c>
      <x:c r="J53" s="12" t="str">
        <x:v>待核</x:v>
      </x:c>
    </x:row>
    <x:row r="54">
      <x:c r="A54" s="12" t="str">
        <x:v>SRC-E047</x:v>
      </x:c>
      <x:c r="B54" s="12" t="str">
        <x:v>券商研报（日耗 2 度）</x:v>
      </x:c>
      <x:c r="C54" s="12" t="str">
        <x:v>券商研报（日耗 2 度）</x:v>
      </x:c>
      <x:c r="D54" s="12" t="str">
        <x:v>待核</x:v>
      </x:c>
      <x:c r="E54" s="12" t="str">
        <x:v>未记录</x:v>
      </x:c>
      <x:c r="F54" s="12" t="str"/>
      <x:c r="G54" s="12" t="str">
        <x:v>沿用原工作簿来源文字；精确URL/日期待补</x:v>
      </x:c>
      <x:c r="H54" s="12" t="str">
        <x:v>设备参数原工作簿</x:v>
      </x:c>
      <x:c r="I54" s="12" t="str">
        <x:v>2026-09-14</x:v>
      </x:c>
      <x:c r="J54" s="12" t="str">
        <x:v>待核</x:v>
      </x:c>
    </x:row>
    <x:row r="55">
      <x:c r="A55" s="12" t="str">
        <x:v>SRC-E048</x:v>
      </x:c>
      <x:c r="B55" s="12" t="str">
        <x:v>券商研报（30–50 元/月）</x:v>
      </x:c>
      <x:c r="C55" s="12" t="str">
        <x:v>券商研报（30–50 元/月）</x:v>
      </x:c>
      <x:c r="D55" s="12" t="str">
        <x:v>待核</x:v>
      </x:c>
      <x:c r="E55" s="12" t="str">
        <x:v>未记录</x:v>
      </x:c>
      <x:c r="F55" s="12" t="str"/>
      <x:c r="G55" s="12" t="str">
        <x:v>沿用原工作簿来源文字；精确URL/日期待补</x:v>
      </x:c>
      <x:c r="H55" s="12" t="str">
        <x:v>设备参数原工作簿</x:v>
      </x:c>
      <x:c r="I55" s="12" t="str">
        <x:v>2026-09-14</x:v>
      </x:c>
      <x:c r="J55" s="12" t="str">
        <x:v>待核</x:v>
      </x:c>
    </x:row>
    <x:row r="56">
      <x:c r="A56" s="12" t="str">
        <x:v>SRC-E049</x:v>
      </x:c>
      <x:c r="B56" s="12" t="str">
        <x:v>兴业证券 / 首席商业评论</x:v>
      </x:c>
      <x:c r="C56" s="12" t="str">
        <x:v>兴业证券 / 首席商业评论</x:v>
      </x:c>
      <x:c r="D56" s="12" t="str">
        <x:v>待核</x:v>
      </x:c>
      <x:c r="E56" s="12" t="str">
        <x:v>未记录</x:v>
      </x:c>
      <x:c r="F56" s="12" t="str"/>
      <x:c r="G56" s="12" t="str">
        <x:v>沿用原工作簿来源文字；精确URL/日期待补</x:v>
      </x:c>
      <x:c r="H56" s="12" t="str">
        <x:v>设备参数原工作簿</x:v>
      </x:c>
      <x:c r="I56" s="12" t="str">
        <x:v>2026-09-14</x:v>
      </x:c>
      <x:c r="J56" s="12" t="str">
        <x:v>待核</x:v>
      </x:c>
    </x:row>
    <x:row r="57">
      <x:c r="A57" s="12" t="str">
        <x:v>SRC-E050</x:v>
      </x:c>
      <x:c r="B57" s="12" t="str">
        <x:v>国网北京代理购电价表 2025-12</x:v>
      </x:c>
      <x:c r="C57" s="12" t="str">
        <x:v>国网北京代理购电价表 2025-12</x:v>
      </x:c>
      <x:c r="D57" s="12" t="str">
        <x:v>待核</x:v>
      </x:c>
      <x:c r="E57" s="12" t="str">
        <x:v>未记录</x:v>
      </x:c>
      <x:c r="F57" s="12" t="str"/>
      <x:c r="G57" s="12" t="str">
        <x:v>沿用原工作簿来源文字；精确URL/日期待补</x:v>
      </x:c>
      <x:c r="H57" s="12" t="str">
        <x:v>设备参数原工作簿</x:v>
      </x:c>
      <x:c r="I57" s="12" t="str">
        <x:v>2026-09-14</x:v>
      </x:c>
      <x:c r="J57" s="12" t="str">
        <x:v>待核</x:v>
      </x:c>
    </x:row>
    <x:row r="58">
      <x:c r="A58" s="12" t="str">
        <x:v>SRC-E051</x:v>
      </x:c>
      <x:c r="B58" s="12" t="str">
        <x:v>国网北京 2025-12</x:v>
      </x:c>
      <x:c r="C58" s="12" t="str">
        <x:v>国网北京 2025-12</x:v>
      </x:c>
      <x:c r="D58" s="12" t="str">
        <x:v>待核</x:v>
      </x:c>
      <x:c r="E58" s="12" t="str">
        <x:v>未记录</x:v>
      </x:c>
      <x:c r="F58" s="12" t="str"/>
      <x:c r="G58" s="12" t="str">
        <x:v>沿用原工作簿来源文字；精确URL/日期待补</x:v>
      </x:c>
      <x:c r="H58" s="12" t="str">
        <x:v>设备参数原工作簿</x:v>
      </x:c>
      <x:c r="I58" s="12" t="str">
        <x:v>2026-09-14</x:v>
      </x:c>
      <x:c r="J58" s="12" t="str">
        <x:v>待核</x:v>
      </x:c>
    </x:row>
    <x:row r="59">
      <x:c r="A59" s="12" t="str">
        <x:v>SRC-E052</x:v>
      </x:c>
      <x:c r="B59" s="12" t="str">
        <x:v>国网北京 2025-11</x:v>
      </x:c>
      <x:c r="C59" s="12" t="str">
        <x:v>国网北京 2025-11</x:v>
      </x:c>
      <x:c r="D59" s="12" t="str">
        <x:v>待核</x:v>
      </x:c>
      <x:c r="E59" s="12" t="str">
        <x:v>未记录</x:v>
      </x:c>
      <x:c r="F59" s="12" t="str"/>
      <x:c r="G59" s="12" t="str">
        <x:v>沿用原工作簿来源文字；精确URL/日期待补</x:v>
      </x:c>
      <x:c r="H59" s="12" t="str">
        <x:v>设备参数原工作簿</x:v>
      </x:c>
      <x:c r="I59" s="12" t="str">
        <x:v>2026-09-14</x:v>
      </x:c>
      <x:c r="J59" s="12" t="str">
        <x:v>待核</x:v>
      </x:c>
    </x:row>
    <x:row r="60">
      <x:c r="A60" s="12" t="str">
        <x:v>SRC-E053</x:v>
      </x:c>
      <x:c r="B60" s="12" t="str">
        <x:v>国网北京 2025-09</x:v>
      </x:c>
      <x:c r="C60" s="12" t="str">
        <x:v>国网北京 2025-09</x:v>
      </x:c>
      <x:c r="D60" s="12" t="str">
        <x:v>待核</x:v>
      </x:c>
      <x:c r="E60" s="12" t="str">
        <x:v>未记录</x:v>
      </x:c>
      <x:c r="F60" s="12" t="str"/>
      <x:c r="G60" s="12" t="str">
        <x:v>沿用原工作簿来源文字；精确URL/日期待补</x:v>
      </x:c>
      <x:c r="H60" s="12" t="str">
        <x:v>设备参数原工作簿</x:v>
      </x:c>
      <x:c r="I60" s="12" t="str">
        <x:v>2026-09-14</x:v>
      </x:c>
      <x:c r="J60" s="12" t="str">
        <x:v>待核</x:v>
      </x:c>
    </x:row>
    <x:row r="61">
      <x:c r="A61" s="12" t="str">
        <x:v>SRC-E054</x:v>
      </x:c>
      <x:c r="B61" s="12" t="str">
        <x:v>生态环境部+统计局+能源局 2025-01 发布</x:v>
      </x:c>
      <x:c r="C61" s="12" t="str">
        <x:v>生态环境部+统计局+能源局 2025-01 发布</x:v>
      </x:c>
      <x:c r="D61" s="12" t="str">
        <x:v>待核</x:v>
      </x:c>
      <x:c r="E61" s="12" t="str">
        <x:v>未记录</x:v>
      </x:c>
      <x:c r="F61" s="12" t="str"/>
      <x:c r="G61" s="12" t="str">
        <x:v>沿用原工作簿来源文字；精确URL/日期待补</x:v>
      </x:c>
      <x:c r="H61" s="12" t="str">
        <x:v>设备参数原工作簿</x:v>
      </x:c>
      <x:c r="I61" s="12" t="str">
        <x:v>2026-09-14</x:v>
      </x:c>
      <x:c r="J61" s="12" t="str">
        <x:v>待核</x:v>
      </x:c>
    </x:row>
    <x:row r="62">
      <x:c r="A62" s="12" t="str">
        <x:v>SRC-E055</x:v>
      </x:c>
      <x:c r="B62" s="12" t="str">
        <x:v>中电联《中国电力行业年度发展报告 2026》</x:v>
      </x:c>
      <x:c r="C62" s="12" t="str">
        <x:v>中电联《中国电力行业年度发展报告 2026》</x:v>
      </x:c>
      <x:c r="D62" s="12" t="str">
        <x:v>待核</x:v>
      </x:c>
      <x:c r="E62" s="12" t="str">
        <x:v>未记录</x:v>
      </x:c>
      <x:c r="F62" s="12" t="str"/>
      <x:c r="G62" s="12" t="str">
        <x:v>沿用原工作簿来源文字；精确URL/日期待补</x:v>
      </x:c>
      <x:c r="H62" s="12" t="str">
        <x:v>设备参数原工作簿</x:v>
      </x:c>
      <x:c r="I62" s="12" t="str">
        <x:v>2026-09-14</x:v>
      </x:c>
      <x:c r="J62" s="12" t="str">
        <x:v>待核</x:v>
      </x:c>
    </x:row>
    <x:row r="63">
      <x:c r="A63" s="12" t="str">
        <x:v>SRC-E056</x:v>
      </x:c>
      <x:c r="B63" s="12" t="str">
        <x:v>中电联 2026 报告</x:v>
      </x:c>
      <x:c r="C63" s="12" t="str">
        <x:v>中电联 2026 报告</x:v>
      </x:c>
      <x:c r="D63" s="12" t="str">
        <x:v>待核</x:v>
      </x:c>
      <x:c r="E63" s="12" t="str">
        <x:v>未记录</x:v>
      </x:c>
      <x:c r="F63" s="12" t="str"/>
      <x:c r="G63" s="12" t="str">
        <x:v>沿用原工作簿来源文字；精确URL/日期待补</x:v>
      </x:c>
      <x:c r="H63" s="12" t="str">
        <x:v>设备参数原工作簿</x:v>
      </x:c>
      <x:c r="I63" s="12" t="str">
        <x:v>2026-09-14</x:v>
      </x:c>
      <x:c r="J63" s="12" t="str">
        <x:v>待核</x:v>
      </x:c>
    </x:row>
    <x:row r="64">
      <x:c r="A64" s="12" t="str">
        <x:v>SRC-E057</x:v>
      </x:c>
      <x:c r="B64" s="12" t="str">
        <x:v>爱企查 2025 招聘数据统计</x:v>
      </x:c>
      <x:c r="C64" s="12" t="str">
        <x:v>爱企查 2025 招聘数据统计</x:v>
      </x:c>
      <x:c r="D64" s="12" t="str">
        <x:v>待核</x:v>
      </x:c>
      <x:c r="E64" s="12" t="str">
        <x:v>未记录</x:v>
      </x:c>
      <x:c r="F64" s="12" t="str"/>
      <x:c r="G64" s="12" t="str">
        <x:v>沿用原工作簿来源文字；精确URL/日期待补</x:v>
      </x:c>
      <x:c r="H64" s="12" t="str">
        <x:v>设备参数原工作簿</x:v>
      </x:c>
      <x:c r="I64" s="12" t="str">
        <x:v>2026-09-14</x:v>
      </x:c>
      <x:c r="J64" s="12" t="str">
        <x:v>待核</x:v>
      </x:c>
    </x:row>
    <x:row r="65">
      <x:c r="A65" s="12" t="str">
        <x:v>SRC-E058</x:v>
      </x:c>
      <x:c r="B65" s="12" t="str">
        <x:v>爱企查</x:v>
      </x:c>
      <x:c r="C65" s="12" t="str">
        <x:v>爱企查</x:v>
      </x:c>
      <x:c r="D65" s="12" t="str">
        <x:v>待核</x:v>
      </x:c>
      <x:c r="E65" s="12" t="str">
        <x:v>未记录</x:v>
      </x:c>
      <x:c r="F65" s="12" t="str"/>
      <x:c r="G65" s="12" t="str">
        <x:v>沿用原工作簿来源文字；精确URL/日期待补</x:v>
      </x:c>
      <x:c r="H65" s="12" t="str">
        <x:v>设备参数原工作簿</x:v>
      </x:c>
      <x:c r="I65" s="12" t="str">
        <x:v>2026-09-14</x:v>
      </x:c>
      <x:c r="J65" s="12" t="str">
        <x:v>待核</x:v>
      </x:c>
    </x:row>
    <x:row r="66">
      <x:c r="A66" s="12" t="str">
        <x:v>SRC-E059</x:v>
      </x:c>
      <x:c r="B66" s="12" t="str">
        <x:v>按通行社保比例推算</x:v>
      </x:c>
      <x:c r="C66" s="12" t="str">
        <x:v>按通行社保比例推算</x:v>
      </x:c>
      <x:c r="D66" s="12" t="str">
        <x:v>待核</x:v>
      </x:c>
      <x:c r="E66" s="12" t="str">
        <x:v>未记录</x:v>
      </x:c>
      <x:c r="F66" s="12" t="str"/>
      <x:c r="G66" s="12" t="str">
        <x:v>沿用原工作簿来源文字；精确URL/日期待补</x:v>
      </x:c>
      <x:c r="H66" s="12" t="str">
        <x:v>设备参数原工作簿</x:v>
      </x:c>
      <x:c r="I66" s="12" t="str">
        <x:v>2026-09-14</x:v>
      </x:c>
      <x:c r="J66" s="12" t="str">
        <x:v>待核</x:v>
      </x:c>
    </x:row>
    <x:row r="67">
      <x:c r="A67" s="12" t="str">
        <x:v>SRC-E060</x:v>
      </x:c>
      <x:c r="B67" s="12" t="str">
        <x:v>今日头条行业统计</x:v>
      </x:c>
      <x:c r="C67" s="12" t="str">
        <x:v>今日头条行业统计</x:v>
      </x:c>
      <x:c r="D67" s="12" t="str">
        <x:v>待核</x:v>
      </x:c>
      <x:c r="E67" s="12" t="str">
        <x:v>未记录</x:v>
      </x:c>
      <x:c r="F67" s="12" t="str"/>
      <x:c r="G67" s="12" t="str">
        <x:v>沿用原工作簿来源文字；精确URL/日期待补</x:v>
      </x:c>
      <x:c r="H67" s="12" t="str">
        <x:v>设备参数原工作簿</x:v>
      </x:c>
      <x:c r="I67" s="12" t="str">
        <x:v>2026-09-14</x:v>
      </x:c>
      <x:c r="J67" s="12" t="str">
        <x:v>待核</x:v>
      </x:c>
    </x:row>
    <x:row r="68">
      <x:c r="A68" s="12" t="str">
        <x:v>SRC-E061</x:v>
      </x:c>
      <x:c r="B68" s="12" t="str">
        <x:v>今日头条</x:v>
      </x:c>
      <x:c r="C68" s="12" t="str">
        <x:v>今日头条</x:v>
      </x:c>
      <x:c r="D68" s="12" t="str">
        <x:v>待核</x:v>
      </x:c>
      <x:c r="E68" s="12" t="str">
        <x:v>未记录</x:v>
      </x:c>
      <x:c r="F68" s="12" t="str"/>
      <x:c r="G68" s="12" t="str">
        <x:v>沿用原工作簿来源文字；精确URL/日期待补</x:v>
      </x:c>
      <x:c r="H68" s="12" t="str">
        <x:v>设备参数原工作簿</x:v>
      </x:c>
      <x:c r="I68" s="12" t="str">
        <x:v>2026-09-14</x:v>
      </x:c>
      <x:c r="J68" s="12" t="str">
        <x:v>待核</x:v>
      </x:c>
    </x:row>
    <x:row r="69">
      <x:c r="A69" s="12" t="str">
        <x:v>SRC-E062</x:v>
      </x:c>
      <x:c r="B69" s="12" t="str">
        <x:v>行业统计</x:v>
      </x:c>
      <x:c r="C69" s="12" t="str">
        <x:v>行业统计</x:v>
      </x:c>
      <x:c r="D69" s="12" t="str">
        <x:v>待核</x:v>
      </x:c>
      <x:c r="E69" s="12" t="str">
        <x:v>未记录</x:v>
      </x:c>
      <x:c r="F69" s="12" t="str"/>
      <x:c r="G69" s="12" t="str">
        <x:v>沿用原工作簿来源文字；精确URL/日期待补</x:v>
      </x:c>
      <x:c r="H69" s="12" t="str">
        <x:v>设备参数原工作簿</x:v>
      </x:c>
      <x:c r="I69" s="12" t="str">
        <x:v>2026-09-14</x:v>
      </x:c>
      <x:c r="J69" s="12" t="str">
        <x:v>待核</x:v>
      </x:c>
    </x:row>
    <x:row r="70">
      <x:c r="A70" s="12" t="str">
        <x:v>SRC-E063</x:v>
      </x:c>
      <x:c r="B70" s="12" t="str">
        <x:v>按月薪 11500 ÷ (300 票/日 × 26 日)</x:v>
      </x:c>
      <x:c r="C70" s="12" t="str">
        <x:v>按月薪 11500 ÷ (300 票/日 × 26 日)</x:v>
      </x:c>
      <x:c r="D70" s="12" t="str">
        <x:v>待核</x:v>
      </x:c>
      <x:c r="E70" s="12" t="str">
        <x:v>未记录</x:v>
      </x:c>
      <x:c r="F70" s="12" t="str"/>
      <x:c r="G70" s="12" t="str">
        <x:v>沿用原工作簿来源文字；精确URL/日期待补</x:v>
      </x:c>
      <x:c r="H70" s="12" t="str">
        <x:v>设备参数原工作簿</x:v>
      </x:c>
      <x:c r="I70" s="12" t="str">
        <x:v>2026-09-14</x:v>
      </x:c>
      <x:c r="J70" s="12" t="str">
        <x:v>待核</x:v>
      </x:c>
    </x:row>
    <x:row r="71">
      <x:c r="A71" s="12" t="str">
        <x:v>SRC-E064</x:v>
      </x:c>
      <x:c r="B71" s="12" t="str">
        <x:v>具身智能产业深度研究</x:v>
      </x:c>
      <x:c r="C71" s="12" t="str">
        <x:v>具身智能产业深度研究</x:v>
      </x:c>
      <x:c r="D71" s="12" t="str">
        <x:v>待核</x:v>
      </x:c>
      <x:c r="E71" s="12" t="str">
        <x:v>未记录</x:v>
      </x:c>
      <x:c r="F71" s="12" t="str"/>
      <x:c r="G71" s="12" t="str">
        <x:v>沿用原工作簿来源文字；精确URL/日期待补</x:v>
      </x:c>
      <x:c r="H71" s="12" t="str">
        <x:v>设备参数原工作簿</x:v>
      </x:c>
      <x:c r="I71" s="12" t="str">
        <x:v>2026-09-14</x:v>
      </x:c>
      <x:c r="J71" s="12" t="str">
        <x:v>待核</x:v>
      </x:c>
    </x:row>
    <x:row r="72">
      <x:c r="A72" s="12" t="str">
        <x:v>SRC-E065</x:v>
      </x:c>
      <x:c r="B72" s="12" t="str">
        <x:v>《企业所得税法实施条例》第六十条</x:v>
      </x:c>
      <x:c r="C72" s="12" t="str">
        <x:v>《企业所得税法实施条例》第六十条</x:v>
      </x:c>
      <x:c r="D72" s="12" t="str">
        <x:v>待核</x:v>
      </x:c>
      <x:c r="E72" s="12" t="str">
        <x:v>未记录</x:v>
      </x:c>
      <x:c r="F72" s="12" t="str"/>
      <x:c r="G72" s="12" t="str">
        <x:v>沿用原工作簿来源文字；精确URL/日期待补</x:v>
      </x:c>
      <x:c r="H72" s="12" t="str">
        <x:v>设备参数原工作簿</x:v>
      </x:c>
      <x:c r="I72" s="12" t="str">
        <x:v>2026-09-14</x:v>
      </x:c>
      <x:c r="J72" s="12" t="str">
        <x:v>待核</x:v>
      </x:c>
    </x:row>
    <x:row r="73">
      <x:c r="A73" s="12" t="str">
        <x:v>SRC-E066</x:v>
      </x:c>
      <x:c r="B73" s="12" t="str">
        <x:v>税法统一规定</x:v>
      </x:c>
      <x:c r="C73" s="12" t="str">
        <x:v>税法统一规定</x:v>
      </x:c>
      <x:c r="D73" s="12" t="str">
        <x:v>待核</x:v>
      </x:c>
      <x:c r="E73" s="12" t="str">
        <x:v>未记录</x:v>
      </x:c>
      <x:c r="F73" s="12" t="str"/>
      <x:c r="G73" s="12" t="str">
        <x:v>沿用原工作簿来源文字；精确URL/日期待补</x:v>
      </x:c>
      <x:c r="H73" s="12" t="str">
        <x:v>设备参数原工作簿</x:v>
      </x:c>
      <x:c r="I73" s="12" t="str">
        <x:v>2026-09-14</x:v>
      </x:c>
      <x:c r="J73" s="12" t="str">
        <x:v>待核</x:v>
      </x:c>
    </x:row>
    <x:row r="74">
      <x:c r="A74" s="12" t="str">
        <x:v>SRC-E067</x:v>
      </x:c>
      <x:c r="B74" s="12" t="str">
        <x:v>新石器官方</x:v>
      </x:c>
      <x:c r="C74" s="12" t="str">
        <x:v>新石器官方</x:v>
      </x:c>
      <x:c r="D74" s="12" t="str">
        <x:v>待核</x:v>
      </x:c>
      <x:c r="E74" s="12" t="str">
        <x:v>未记录</x:v>
      </x:c>
      <x:c r="F74" s="12" t="str"/>
      <x:c r="G74" s="12" t="str">
        <x:v>沿用原工作簿来源文字；精确URL/日期待补</x:v>
      </x:c>
      <x:c r="H74" s="12" t="str">
        <x:v>设备参数原工作簿</x:v>
      </x:c>
      <x:c r="I74" s="12" t="str">
        <x:v>2026-09-14</x:v>
      </x:c>
      <x:c r="J74" s="12" t="str">
        <x:v>待核</x:v>
      </x:c>
    </x:row>
    <x:row r="75">
      <x:c r="A75" s="12" t="str">
        <x:v>SRC-E068</x:v>
      </x:c>
      <x:c r="B75" s="12" t="str">
        <x:v>通行工程经济取值</x:v>
      </x:c>
      <x:c r="C75" s="12" t="str">
        <x:v>通行工程经济取值</x:v>
      </x:c>
      <x:c r="D75" s="12" t="str">
        <x:v>待核</x:v>
      </x:c>
      <x:c r="E75" s="12" t="str">
        <x:v>未记录</x:v>
      </x:c>
      <x:c r="F75" s="12" t="str"/>
      <x:c r="G75" s="12" t="str">
        <x:v>沿用原工作簿来源文字；精确URL/日期待补</x:v>
      </x:c>
      <x:c r="H75" s="12" t="str">
        <x:v>设备参数原工作簿</x:v>
      </x:c>
      <x:c r="I75" s="12" t="str">
        <x:v>2026-09-14</x:v>
      </x:c>
      <x:c r="J75" s="12" t="str">
        <x:v>待核</x:v>
      </x:c>
    </x:row>
  </x:sheetData>
  <x:pageMargins left="0.7" right="0.7" top="0.75" bottom="0.75" header="0.3" footer="0.3"/>
  <x:tableParts count="1">
    <x:tablePart xmlns:r="http://schemas.openxmlformats.org/officeDocument/2006/relationships" r:id="R25b1575032be4d1a"/>
  </x:tableParts>
</x:worksheet>
</file>

<file path=xl/worksheets/sheet9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20" hidden="0" customWidth="1"/>
    <x:col min="5" max="5" width="20" hidden="0" customWidth="1"/>
    <x:col min="6" max="6" width="10" hidden="0" customWidth="1"/>
    <x:col min="7" max="7" width="15" hidden="0" customWidth="1"/>
    <x:col min="8" max="8" width="30" hidden="0" customWidth="1"/>
    <x:col min="9" max="9" width="20" hidden="0" customWidth="1"/>
    <x:col min="10" max="10" width="38" hidden="0" customWidth="1"/>
  </x:cols>
  <x:sheetData>
    <x:row r="2" ht="28" customHeight="1">
      <x:c r="A2" s="1" t="str">
        <x:v>设备参数缺口清单</x:v>
      </x:c>
    </x:row>
    <x:row r="3" ht="32" customHeight="1">
      <x:c r="A3" s="3" t="str">
        <x:v>大部分缺口可先从厂商官网、产品手册、招标公告补齐；真实运营参数需向运营企业索取或通过典型路线测试。 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6" ht="32" customHeight="1">
      <x:c r="A6" s="16" t="str">
        <x:v>缺口ID</x:v>
      </x:c>
      <x:c r="B6" s="17" t="str">
        <x:v>数据项</x:v>
      </x:c>
      <x:c r="C6" s="17" t="str">
        <x:v>当前状态</x:v>
      </x:c>
      <x:c r="D6" s="17" t="str">
        <x:v>官网可补</x:v>
      </x:c>
      <x:c r="E6" s="17" t="str">
        <x:v>必须企业/实测</x:v>
      </x:c>
      <x:c r="F6" s="17" t="str">
        <x:v>优先级</x:v>
      </x:c>
      <x:c r="G6" s="17" t="str">
        <x:v>模型</x:v>
      </x:c>
      <x:c r="H6" s="17" t="str">
        <x:v>建议取证</x:v>
      </x:c>
      <x:c r="I6" s="17" t="str">
        <x:v>替换位置</x:v>
      </x:c>
      <x:c r="J6" s="18" t="str">
        <x:v>验收标准</x:v>
      </x:c>
    </x:row>
    <x:row r="7">
      <x:c r="A7" s="12" t="str">
        <x:v>G-E01</x:v>
      </x:c>
      <x:c r="B7" s="12" t="str">
        <x:v>X3/X6精确型号页、发布日期、尺寸</x:v>
      </x:c>
      <x:c r="C7" s="12" t="str">
        <x:v>部分</x:v>
      </x:c>
      <x:c r="D7" s="12" t="str">
        <x:v>是</x:v>
      </x:c>
      <x:c r="E7" s="12" t="str">
        <x:v>否</x:v>
      </x:c>
      <x:c r="F7" s="12" t="str">
        <x:v>P0</x:v>
      </x:c>
      <x:c r="G7" s="12" t="str">
        <x:v>M2/M3/M6</x:v>
      </x:c>
      <x:c r="H7" s="12" t="str">
        <x:v>官网PDF/网页存档</x:v>
      </x:c>
      <x:c r="I7" s="12" t="str">
        <x:v>02/07</x:v>
      </x:c>
      <x:c r="J7" s="12" t="str">
        <x:v>型号、版本、日期、URL齐全</x:v>
      </x:c>
    </x:row>
    <x:row r="8">
      <x:c r="A8" s="12" t="str">
        <x:v>G-E02</x:v>
      </x:c>
      <x:c r="B8" s="12" t="str">
        <x:v>北京可用车型类别与获批道路</x:v>
      </x:c>
      <x:c r="C8" s="12" t="str">
        <x:v>缺失</x:v>
      </x:c>
      <x:c r="D8" s="12" t="str">
        <x:v>政策只给框架</x:v>
      </x:c>
      <x:c r="E8" s="12" t="str">
        <x:v>是</x:v>
      </x:c>
      <x:c r="F8" s="12" t="str">
        <x:v>P0</x:v>
      </x:c>
      <x:c r="G8" s="12" t="str">
        <x:v>M2/M3</x:v>
      </x:c>
      <x:c r="H8" s="12" t="str">
        <x:v>试点区细则/运营通知书</x:v>
      </x:c>
      <x:c r="I8" s="12" t="str">
        <x:v>01/道路包06</x:v>
      </x:c>
      <x:c r="J8" s="12" t="str">
        <x:v>车型与道路、时间范围一一对应</x:v>
      </x:c>
    </x:row>
    <x:row r="9">
      <x:c r="A9" s="12" t="str">
        <x:v>G-E03</x:v>
      </x:c>
      <x:c r="B9" s="12" t="str">
        <x:v>满载能耗、冬季续航、充换电时长</x:v>
      </x:c>
      <x:c r="C9" s="12" t="str">
        <x:v>部分</x:v>
      </x:c>
      <x:c r="D9" s="12" t="str">
        <x:v>厂商可补标称值</x:v>
      </x:c>
      <x:c r="E9" s="12" t="str">
        <x:v>实测更可靠</x:v>
      </x:c>
      <x:c r="F9" s="12" t="str">
        <x:v>P0</x:v>
      </x:c>
      <x:c r="G9" s="12" t="str">
        <x:v>M3/M4/M6</x:v>
      </x:c>
      <x:c r="H9" s="12" t="str">
        <x:v>运行日志/实车测试</x:v>
      </x:c>
      <x:c r="I9" s="12" t="str">
        <x:v>01/05</x:v>
      </x:c>
      <x:c r="J9" s="12" t="str">
        <x:v>给出样本量、温度、载重和路线</x:v>
      </x:c>
    </x:row>
    <x:row r="10">
      <x:c r="A10" s="12" t="str">
        <x:v>G-E04</x:v>
      </x:c>
      <x:c r="B10" s="12" t="str">
        <x:v>故障率、人工接管率、可用率</x:v>
      </x:c>
      <x:c r="C10" s="12" t="str">
        <x:v>缺失</x:v>
      </x:c>
      <x:c r="D10" s="12" t="str">
        <x:v>通常不能</x:v>
      </x:c>
      <x:c r="E10" s="12" t="str">
        <x:v>是</x:v>
      </x:c>
      <x:c r="F10" s="12" t="str">
        <x:v>P1</x:v>
      </x:c>
      <x:c r="G10" s="12" t="str">
        <x:v>M3/M6</x:v>
      </x:c>
      <x:c r="H10" s="12" t="str">
        <x:v>运营日志</x:v>
      </x:c>
      <x:c r="I10" s="12" t="str">
        <x:v>新增可靠性参数</x:v>
      </x:c>
      <x:c r="J10" s="12" t="str">
        <x:v>统计周期不少于2周</x:v>
      </x:c>
    </x:row>
    <x:row r="11">
      <x:c r="A11" s="12" t="str">
        <x:v>G-E05</x:v>
      </x:c>
      <x:c r="B11" s="12" t="str">
        <x:v>装卸、开门、单点停靠服务时间</x:v>
      </x:c>
      <x:c r="C11" s="12" t="str">
        <x:v>缺失</x:v>
      </x:c>
      <x:c r="D11" s="12" t="str">
        <x:v>不能</x:v>
      </x:c>
      <x:c r="E11" s="12" t="str">
        <x:v>是</x:v>
      </x:c>
      <x:c r="F11" s="12" t="str">
        <x:v>P0</x:v>
      </x:c>
      <x:c r="G11" s="12" t="str">
        <x:v>M3/M6</x:v>
      </x:c>
      <x:c r="H11" s="12" t="str">
        <x:v>现场秒表/系统日志</x:v>
      </x:c>
      <x:c r="I11" s="12" t="str">
        <x:v>01</x:v>
      </x:c>
      <x:c r="J11" s="12" t="str">
        <x:v>按车型和场景给出分布</x:v>
      </x:c>
    </x:row>
    <x:row r="12">
      <x:c r="A12" s="12" t="str">
        <x:v>G-E06</x:v>
      </x:c>
      <x:c r="B12" s="12" t="str">
        <x:v>保险、维保、地图、平台真实报价</x:v>
      </x:c>
      <x:c r="C12" s="12" t="str">
        <x:v>部分</x:v>
      </x:c>
      <x:c r="D12" s="12" t="str">
        <x:v>可查公开报价</x:v>
      </x:c>
      <x:c r="E12" s="12" t="str">
        <x:v>建议</x:v>
      </x:c>
      <x:c r="F12" s="12" t="str">
        <x:v>P1</x:v>
      </x:c>
      <x:c r="G12" s="12" t="str">
        <x:v>M4/M5</x:v>
      </x:c>
      <x:c r="H12" s="12" t="str">
        <x:v>询价单/合同脱敏件</x:v>
      </x:c>
      <x:c r="I12" s="12" t="str">
        <x:v>04/05</x:v>
      </x:c>
      <x:c r="J12" s="12" t="str">
        <x:v>含税、服务范围、有效期明确</x:v>
      </x:c>
    </x:row>
    <x:row r="13">
      <x:c r="A13" s="12" t="str">
        <x:v>G-E07</x:v>
      </x:c>
      <x:c r="B13" s="12" t="str">
        <x:v>智能柜实际格口组合、电耗、故障率</x:v>
      </x:c>
      <x:c r="C13" s="12" t="str">
        <x:v>部分</x:v>
      </x:c>
      <x:c r="D13" s="12" t="str">
        <x:v>规格可官网补</x:v>
      </x:c>
      <x:c r="E13" s="12" t="str">
        <x:v>是</x:v>
      </x:c>
      <x:c r="F13" s="12" t="str">
        <x:v>P0</x:v>
      </x:c>
      <x:c r="G13" s="12" t="str">
        <x:v>M2/M4/M6</x:v>
      </x:c>
      <x:c r="H13" s="12" t="str">
        <x:v>现场盘点+物业/企业台账</x:v>
      </x:c>
      <x:c r="I13" s="12" t="str">
        <x:v>03/05</x:v>
      </x:c>
      <x:c r="J13" s="12" t="str">
        <x:v>具体站点、日期和型号齐全</x:v>
      </x:c>
    </x:row>
    <x:row r="14">
      <x:c r="A14" s="12" t="str">
        <x:v>G-E08</x:v>
      </x:c>
      <x:c r="B14" s="12" t="str">
        <x:v>部分来源精确URL和采集日期</x:v>
      </x:c>
      <x:c r="C14" s="12" t="str">
        <x:v>部分</x:v>
      </x:c>
      <x:c r="D14" s="12" t="str">
        <x:v>是</x:v>
      </x:c>
      <x:c r="E14" s="12" t="str">
        <x:v>否</x:v>
      </x:c>
      <x:c r="F14" s="12" t="str">
        <x:v>P0</x:v>
      </x:c>
      <x:c r="G14" s="12" t="str">
        <x:v>全模型</x:v>
      </x:c>
      <x:c r="H14" s="12" t="str">
        <x:v>逐行补来源目录</x:v>
      </x:c>
      <x:c r="I14" s="12" t="str">
        <x:v>07</x:v>
      </x:c>
      <x:c r="J14" s="12" t="str">
        <x:v>所有B/C/D级参数可回溯</x:v>
      </x:c>
    </x:row>
  </x:sheetData>
  <x:conditionalFormatting sqref="C7:C14">
    <x:cfRule type="containsText" dxfId="3" priority="1" operator="containsText" text="完整"/>
    <x:cfRule type="containsText" dxfId="4" priority="2" operator="containsText" text="部分"/>
    <x:cfRule type="containsText" dxfId="5" priority="3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4c5d0f33dd34416f"/>
  </x:tableParts>
</x:worksheet>
</file>